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product_test_tracing_system\docs\"/>
    </mc:Choice>
  </mc:AlternateContent>
  <xr:revisionPtr revIDLastSave="0" documentId="13_ncr:1_{6BC52B9D-E6DB-47E8-9A39-7E6934C4219F}" xr6:coauthVersionLast="47" xr6:coauthVersionMax="47" xr10:uidLastSave="{00000000-0000-0000-0000-000000000000}"/>
  <bookViews>
    <workbookView xWindow="-110" yWindow="-110" windowWidth="25820" windowHeight="15500" tabRatio="745" firstSheet="5" activeTab="10" xr2:uid="{421B0B10-1399-475F-B14E-2C2D39CF6739}"/>
  </bookViews>
  <sheets>
    <sheet name="Test Releases" sheetId="8" state="hidden" r:id="rId1"/>
    <sheet name="Test Runs" sheetId="19" state="hidden" r:id="rId2"/>
    <sheet name="Test Cases" sheetId="15" state="hidden" r:id="rId3"/>
    <sheet name="Test Configs" sheetId="1" state="hidden" r:id="rId4"/>
    <sheet name="Connectivity Room Routers" sheetId="14" state="hidden" r:id="rId5"/>
    <sheet name="Test Configs (2)" sheetId="24" r:id="rId6"/>
    <sheet name="Test Cases (2)" sheetId="23" r:id="rId7"/>
    <sheet name="Test Runs (2)" sheetId="22" r:id="rId8"/>
    <sheet name="Test Releases (2)" sheetId="21" r:id="rId9"/>
    <sheet name="Test Report" sheetId="26" r:id="rId10"/>
    <sheet name="Connectivity Room Routers (2)" sheetId="25" r:id="rId11"/>
    <sheet name="테스트 환경" sheetId="9" state="hidden" r:id="rId12"/>
    <sheet name="TRACE ID" sheetId="10" state="hidden" r:id="rId13"/>
    <sheet name="HRK 테스트" sheetId="3" state="hidden" r:id="rId14"/>
    <sheet name="HLM 테스트" sheetId="4" state="hidden" r:id="rId15"/>
    <sheet name="HTR 테스트" sheetId="5" state="hidden" r:id="rId16"/>
    <sheet name="HDR 테스트" sheetId="6" state="hidden" r:id="rId17"/>
    <sheet name="HDC 테스트" sheetId="7" state="hidden" r:id="rId18"/>
    <sheet name="Test Case 식별 all in one,origin" sheetId="16" state="hidden" r:id="rId19"/>
  </sheets>
  <definedNames>
    <definedName name="_xlnm._FilterDatabase" localSheetId="4" hidden="1">'Connectivity Room Routers'!$A$1:$N$1</definedName>
    <definedName name="_xlnm._FilterDatabase" localSheetId="10" hidden="1">'Connectivity Room Routers (2)'!$A$1:$N$1</definedName>
    <definedName name="_xlnm._FilterDatabase" localSheetId="6" hidden="1">'Test Cases (2)'!$A$1:$K$141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5" i="21" l="1"/>
  <c r="F94" i="21"/>
  <c r="F93" i="21"/>
  <c r="F92" i="21"/>
  <c r="F91" i="21"/>
  <c r="F90" i="21"/>
  <c r="F89" i="21"/>
  <c r="F88" i="21"/>
  <c r="F87" i="21"/>
  <c r="F86" i="21"/>
  <c r="F85" i="21"/>
  <c r="F84" i="21"/>
  <c r="E84" i="21"/>
  <c r="D84" i="21"/>
  <c r="E83" i="21"/>
  <c r="D83" i="21"/>
  <c r="E82" i="21"/>
  <c r="D82" i="21"/>
  <c r="A28" i="21"/>
  <c r="A29" i="21"/>
  <c r="A30" i="21"/>
  <c r="A31" i="21"/>
  <c r="A32" i="21"/>
  <c r="A33" i="21"/>
  <c r="A27" i="21"/>
  <c r="F5" i="22"/>
  <c r="E115" i="23"/>
  <c r="E114" i="23"/>
  <c r="E113" i="23"/>
  <c r="F16" i="22"/>
  <c r="F15" i="22"/>
  <c r="F14" i="22"/>
  <c r="F13" i="22"/>
  <c r="F12" i="22"/>
  <c r="F11" i="22"/>
  <c r="F10" i="22"/>
  <c r="F9" i="22"/>
  <c r="F8" i="22"/>
  <c r="F7" i="22"/>
  <c r="F6" i="22"/>
  <c r="E5" i="22"/>
  <c r="D5" i="22"/>
  <c r="E4" i="22"/>
  <c r="D4" i="22"/>
  <c r="E3" i="22"/>
  <c r="D3" i="22"/>
  <c r="F16" i="19"/>
  <c r="F15" i="19"/>
  <c r="F14" i="19"/>
  <c r="F13" i="19"/>
  <c r="F12" i="19"/>
  <c r="F11" i="19"/>
  <c r="F10" i="19"/>
  <c r="F9" i="19"/>
  <c r="F8" i="19"/>
  <c r="F7" i="19"/>
  <c r="F6" i="19"/>
  <c r="F5" i="19"/>
  <c r="E5" i="19"/>
  <c r="D5" i="19"/>
  <c r="E4" i="19"/>
  <c r="D4" i="19"/>
  <c r="E3" i="19"/>
  <c r="D3" i="19"/>
  <c r="F118" i="16"/>
  <c r="F117" i="16"/>
  <c r="F116" i="16"/>
  <c r="E115" i="15"/>
  <c r="E114" i="15"/>
  <c r="E113" i="15"/>
  <c r="F26" i="6"/>
  <c r="F25" i="6"/>
  <c r="F24" i="6"/>
</calcChain>
</file>

<file path=xl/sharedStrings.xml><?xml version="1.0" encoding="utf-8"?>
<sst xmlns="http://schemas.openxmlformats.org/spreadsheetml/2006/main" count="3733" uniqueCount="633">
  <si>
    <t>HRK-9000A</t>
    <phoneticPr fontId="1" type="noConversion"/>
  </si>
  <si>
    <t>9HA09A24I0014</t>
    <phoneticPr fontId="1" type="noConversion"/>
  </si>
  <si>
    <t>9LM00024D0014</t>
  </si>
  <si>
    <t>HLM-9000</t>
    <phoneticPr fontId="1" type="noConversion"/>
  </si>
  <si>
    <t>HDR-9000_OP</t>
    <phoneticPr fontId="1" type="noConversion"/>
  </si>
  <si>
    <t>HDR-9000_JUNCTION_BOX</t>
    <phoneticPr fontId="1" type="noConversion"/>
  </si>
  <si>
    <t>HDR-9000_?</t>
    <phoneticPr fontId="1" type="noConversion"/>
  </si>
  <si>
    <t>TBD</t>
  </si>
  <si>
    <t>TBD</t>
    <phoneticPr fontId="1" type="noConversion"/>
  </si>
  <si>
    <t>ID</t>
  </si>
  <si>
    <t>체크 항목</t>
  </si>
  <si>
    <t>테스트 항목</t>
  </si>
  <si>
    <t>테스트 절차</t>
  </si>
  <si>
    <t>기대 결과</t>
  </si>
  <si>
    <t>비고</t>
  </si>
  <si>
    <t>결과 판정</t>
  </si>
  <si>
    <t>특이사항</t>
  </si>
  <si>
    <t>HRK-001</t>
  </si>
  <si>
    <t>AP 연결 및 인증 확인</t>
  </si>
  <si>
    <t>1. 연결 가능한 AP 목록 (SSID/RSSI 순서)
2. AP 연결 성공
3. AP 인증 성공</t>
  </si>
  <si>
    <t>1. SETUP MODE 화면으로 진입(홈 화면 우측 하단 톱니바퀴 아이콘 터치)
2. SETUP MODE 화면-2 페이지-WIFI 탭 으로이동
3. BAND 항목을 2.4GHz로 터치
4. SCAN 버튼 터치.</t>
  </si>
  <si>
    <t>2.4GHz, 5GHz AP 에서
각각 수행
연결 실패시, 에러메세지 확인
최초 연결 후 AP 끊어지는 경우 체크 필요</t>
  </si>
  <si>
    <t>1. HDR / 
1) 1대 /
2) 2대 / 
2. HIIS / 
3. MATE /</t>
  </si>
  <si>
    <t>SETUP MODE 화면 진입 위해 "홈 화면 우측 하단 톱니바퀴 아이콘 터치" 시 간헐적 미인식</t>
  </si>
  <si>
    <t>SETUP MODE 화면-2 페이지-WIFI 탭 의 AP SSID 항목에 선택한 SSID 가 시현</t>
  </si>
  <si>
    <t>1. AP Password 입력
2. Verify 버튼 터치
3. AP Password is okay! 모달 시현 대기
4. AP Password is okay! 모달 OK 버튼 터치</t>
  </si>
  <si>
    <t>최초 연결 후 TBD 초 간 AP 끊어짐 없고, 연결관련 에러메세지 없이,
측정화면의 우측상단 Wi-Fi &amp; HDR 정상연결 상태확인(아래의 범례와 같은 상태) 
범례 
*Wi-Fi 아이콘(정상 연결상태): 파란색으로 RSSI 신호세기 표기, 우하단심볼 미표기</t>
  </si>
  <si>
    <t>HRK-002</t>
  </si>
  <si>
    <t>Server 연결 확인</t>
  </si>
  <si>
    <t>1. AP를 연결한다.
2. 사용자 설정에서 HDR IP / Port 를 입력한다. (port (default: 42000))
3. 사용자 설정을 나와서 HDR(Server) 연결을 확인한다. 
4. 오른쪽 위 상단의 ICON 확인 
- 제품 4대 연결 가능. (HDR / HRK-Mate / HIIS) 
- 연결 성공 O, 연결 실패 X로 icon 위에 표시 (모두 연결시 O/X 표시 안함.)</t>
  </si>
  <si>
    <t>1. DR 연결 성공</t>
  </si>
  <si>
    <t>1. AP 연결 및 인증 확인(HRK-001)
2. SETUP MODE 화면으로 진입(홈 화면 우측 하단 톱니바퀴 아이콘 터치) 
3. SETUP MODE 화면-2 페이지-HDR IP 1탭으로 이동
4. HDR Nickname 입력 ex&gt; HDR9000_1(연결할 Nickname)
5. HDR IP 입력 ex&gt; 192.168.***.***(연결할 HDR IP)
6. HDR Port 입력 ex&gt; 42000(연결할 Port)
7. HDR 연결할 항목에 대한 Checkbox를 터치(V 표기 시현되도록)</t>
  </si>
  <si>
    <t>홈 화면의 우측상단 Wi-Fi &amp; HDR 정상연결 상태확인(아래의 범례와 같은 상태)
범례
*Wi-Fi 아이콘 : 회색으로 RSSI 신호세기 표기상태, 좌상단심볼 미표기 
*DR 아이콘 : 회색으로 DR 표기, 좌상단심볼 미표기</t>
  </si>
  <si>
    <t>최소 1개, 최대4개 늘려가면서 연결 시도
이후 모든 전송 테스트도 Server 개수 늘려가면서 진행</t>
  </si>
  <si>
    <t>1. HDR / 
1) 1대 / 합
2) 2대 / 
2. HIIS / 
3. MATE /</t>
  </si>
  <si>
    <t>HRK-003</t>
  </si>
  <si>
    <t>측정데이터 전송(수동모드)</t>
  </si>
  <si>
    <t>1. AP를 연결한다.
2. HDR(Server)을 연결한다.
3. 사용자 설정에서 TRANSFER TYPE(전송모드)를 수동(Manual)으로 설정한다.
4. REF / KER 측정 모드에서 데이터를 측정한다.
5. 프린트 버튼을 누르거나, 화면에 프린트 버튼을 touch 한다. 
6. HDR network connect 팝업창에서 HDR (server) 버튼을 touch하여, 데이터를 전송한다. 
7. HDR( Server )에서 데이터를 수신 확인한다.
8. 전송 이후, AP 또는 Server 연결이 끊어지는지 확인한다.</t>
  </si>
  <si>
    <t>1. 데이터 전송 성공
2. 데이터 전송 실패시 에러메세지 확인( DR(Server)와 끊어짐 상태 표시 또는 전송실패 표시 )
3. 실패 이후 재전송 성공</t>
  </si>
  <si>
    <t>1. AP 연결 및 인증 확인(HRK-001)
2. Server 연결 확인(HRK-002, HDR에 연결)
3. SETUP MODE 화면으로 진입(홈 화면 우측 하단 톱니바퀴 아이콘 터치) 
4. SETUP MODE 화면-2 페이지-WIFI 탭으로 이동
5. TRANSFER TYPE를 Manual으로 설정.
6. "REF/KER 측정 MODE 화면"으로 이동(SETUP MODE 화면에서 좌측상단 홈 아이콘 터치)
7. 모델아이 장착
8. 조이스틱 수동조작하여 모델아이의 눈동자를 화면 위치로 대략적 배치
9. "REF/KER 측정 MODE 화면"의 중간상단의 MEASURE 아이콘을 터치</t>
  </si>
  <si>
    <t>HRK가 "REF/KER 측정 MODE 화면"에서 모델아이 측정한 상태로 멈춤 확인</t>
  </si>
  <si>
    <t>측정 모드는 모드별로 테스트 진행</t>
  </si>
  <si>
    <t>1. "REF/KER 측정 MODE 화면"의 우측하단의 프린터 아이콘을 터치. 
2. HDR network connect 팝업창에서 HDR (server) 아이콘을 터치.</t>
  </si>
  <si>
    <t>"REF/KER 측정 MODE 화면"의 HDR network connect 팝업창에서 HDR (server) 아이콘이 문서교환 아이콘으로 변경시현확인</t>
  </si>
  <si>
    <t>1. HDR network connect 팝업창에서 OK 버튼 터치</t>
  </si>
  <si>
    <t>HRK가 움직이며 ALIGN CENTER 비모달 시현 후 동공의 CENTER에서 멈춤</t>
  </si>
  <si>
    <t>1. OP 키보드의 LOAD 버튼 클릭
2. OP Basic Operation 화면 좌측상단 LOAD DATA의 RK 버튼 터치</t>
  </si>
  <si>
    <t>"REF/KER 측정 MODE 화면" 좌측상단 차트번호와 OP Basic Operation 화면 좌측상단 LOAD DATA의 차트번호 비교결과, 측정화면 차트번호가 1이 더 큰지 확인</t>
  </si>
  <si>
    <t>1. OP Basic Operation 화면 좌측상단 LOAD DATA의 차트번호 터치</t>
  </si>
  <si>
    <t xml:space="preserve">"REF/KER 측정 MODE 화면"의 중간단의 좌우 R, L 데이터 목록과 OP Basic Operation 화면 상단중간 데이터 비교결과, S(SPH), C(CYLINDER), A(TBD)의 수치가 일치 상태확인(TBD. STEP 디옵터 설정 의존성 확인)
</t>
  </si>
  <si>
    <t>HRK-004</t>
  </si>
  <si>
    <t>측정데이터 전송(자동모드)</t>
  </si>
  <si>
    <t>1. AP를 연결한다.
2. HDR(Server)을 연결한다.
3. 사용자 설정에서 TRANSFER TYPE(전송모드)를 자동(Auto)으로 설정한다.
4. REF / KER 측정 모드에서 데이터를 측정한다.
5. 프린트 버튼을 누르거나, 화면에 프린트 버튼을 touch 한다. 
6. HDR (Server) 가 모두 연결된 경우, 팝업창이 뜨지 않고 데이터가 전송되는지 확인한다. 
- 1대 이상 연결된 경우, 모두 연결된 상태확인 
- 여러대 중 1~2대 연결이 끊어진 상태확인 (전송모드가 자동이어도, HDR network connect 팝업창이 떠야 정상) 
7. HDR( Server )에서 데이터를 수신 확인한다.
8. 전송 이후, AP 또는 Server 연결이 끊어지는지 확인한다.</t>
  </si>
  <si>
    <t>1. AP 연결 및 인증 확인(HRK-001)
2. Server 연결 확인(HRK-002, HDR에 연결)
3. SETUP MODE 화면으로 진입(홈 화면 우측 하단 톱니바퀴 아이콘 터치) 
4. SETUP MODE 화면-2 페이지-WIFI 탭으로 이동
5. TRANSFER TYPE를 Auto로 설정.
6. "REF/KER 측정 MODE 화면"으로 이동(SETUP MODE 화면에서 좌측상단 홈 아이콘 터치)
7. 모델아이 장착
8. 조이스틱 수동조작하여 모델아이의 눈동자를 화면 위치로 대략적 배치
9. "REF/KER 측정 MODE 화면"의 중간상단의 MEASURE 아이콘을 터치</t>
  </si>
  <si>
    <t>1. "REF/KER 측정 MODE 화면"의 우측하단의 프린터 아이콘을 터치.</t>
  </si>
  <si>
    <t>"REF/KER 측정 MODE 화면"의 HDR network connect 팝업창이 뜨지 않고,
HRK가 움직이며 ALIGN CENTER 비모달 시현 후 동공의 CENTER에서 멈춤</t>
  </si>
  <si>
    <t>HRK-005</t>
  </si>
  <si>
    <t>이미지(IOL) 촬영 후 전송</t>
  </si>
  <si>
    <t xml:space="preserve">
1. RETRO-ILLUMINATION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
</t>
  </si>
  <si>
    <t>1. 데이터 전송 성공
2. 데이터 전송 실패시 에러메세지 확인( DR(Server)와 끊어짐 상태 표시 또는 전송실패 표시 )
3. 실패 이후 재전송 성공
4. HDR이 Server 목록에 있더라도 전송 성공 하는지 유무</t>
  </si>
  <si>
    <t>1. "REF/KER 측정 MODE 화면"의 좌측하단 부기기능 아이콘(2x2 Matrix 아이콘, 우상단, 좌하단 2개 파란색, 나머지 2개 회색) 터치
2. Retro-ILL 터치 
3. HRK 동작 멈출 때까지 대기 
4. 조이스틱의 Shot 버튼 누름</t>
  </si>
  <si>
    <t>RETRO-ILLUMINATION MODE 화면 하단중간 Image Captured 시현확인</t>
  </si>
  <si>
    <t>같은 환자번호에서, 여러 번 보냈을때 이미지가 덮어쓰여지는지 확인 필요.</t>
  </si>
  <si>
    <t>1. HDR / 전송 기능 없음
1) 1대 /
2) 2대 / 
2. HIIS / 
3. MATE /</t>
  </si>
  <si>
    <t>1. "REF/KER 측정 MODE 화면"으로 이동(좌측상단의 홈 아이콘 터치)
2. "REF/KER 측정 MODE 화면"의 우측하단의 프린터 아이콘을 터치.</t>
  </si>
  <si>
    <t>"REF/KER 측정 MODE 화면" 좌측상단 차트번호와 OP Basic Operation 화면 좌측상단 LOAD DATA의 차트번호 비교결과, 측정화면 차트번호가 1이 더 큰지 확인
TBD
- HDR( Server )에서 데이터를 수신 확인한다. 
(OP 어디에서 수신이미지 확인하기 위한 위치 공유요청)
- Patient ID가 동일한 마이봄샘 이미지가 저장되어 있었다면, 덮어씀
(덮어쓰는 이미지 전 후 비교방법 공유요청) 
- 같은 환자번호에서, 여러 번 보냈을때 이미지가 덮어쓰여지는지 확인 필요.
(같은 환자번호에서, 여러 번 보내는 방법 공유요청)</t>
  </si>
  <si>
    <t>HRK-006</t>
  </si>
  <si>
    <t>이미지( COLOR ) 촬영 후 전송</t>
  </si>
  <si>
    <t xml:space="preserve">
1. COLOR VIEW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
</t>
  </si>
  <si>
    <t>1. "REF/KER 측정 MODE 화면"의 좌측하단 부기기능 아이콘(2x2 Matrix 아이콘, 우상단, 좌하단 2개 파란색, 나머지 2개 회색) 터치
2. COLOR 터치 
3. HRK 동작 멈출 때까지 대기 
4. 조이스틱의 Shot 버튼 누름</t>
  </si>
  <si>
    <t>COLOR VIEW MODE 화면 하단중간 Image Captured 시현확인</t>
  </si>
  <si>
    <t>1. "REF/KER 측정 MODE 화면"으로 이동(좌측상단의 홈 아이콘 터치)
2. "REF/KER 측정 MODE 화면"의 우측하단의 프린터 아이콘을 터치. 
3. HRK 동작 멈출 때까지 대기</t>
  </si>
  <si>
    <t>HRK-007</t>
  </si>
  <si>
    <t>이미지( TFBUT ) 촬영 후 전송</t>
  </si>
  <si>
    <t xml:space="preserve">
1. TFBUT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
</t>
  </si>
  <si>
    <t>1. "REF/KER 측정 MODE 화면"의 좌측하단 부기기능 아이콘(2x2 Matrix 아이콘, 우상단, 좌하단 2개 파란색, 나머지 2개 회색) 터치
2. TFBUT 터치 
3. HRK 동작 멈출 때까지 대기 
4. 조이스틱의 Shot 버튼 누름</t>
  </si>
  <si>
    <t>TFBUT MODE 화면 하단중간 Image Captured 시현확인</t>
  </si>
  <si>
    <t>같은 환자번호에서, 여러 번 보냈을때 이미지가 덮어쓰여지는지 확인 필요.
Server 가 HIIS-1인 경우, duration time 출력 여부 확인 필요.</t>
  </si>
  <si>
    <t>HRK-008</t>
  </si>
  <si>
    <t>이미지( MEIBO ) 촬영 후 전송</t>
  </si>
  <si>
    <t>1. MEIBOGRAPHY MODE에 들어간다. 
2. 이미지를 촬영한다. 
- 조이스틱 누르거나, 화면에 CAPTURE touch 
- 최소1장 ~ 최대4장 capture, OD/OS 무관 
3. 프린트 버튼을 눌러 데이터를 전송한다. 
- Image Transmitting (1/4) 
: 캡쳐한 이미지 4장중 1장 전송중 
- Image Transfer Successful!
: 이미지 전송 성공
- Image Transfer Failed!
: 이미지 전송 실패 
4. 전송이 완료 되면, HDR( Server )에서 데이터를 수신 확인한다.
5. 전송 이후, AP 또는 Server 연결이 끊어지는지 확인한다.</t>
  </si>
  <si>
    <t>1. "REF/KER 측정 MODE 화면"의 좌측하단 부기기능 아이콘(2x2 Matrix 아이콘, 우상단, 좌하단 2개 파란색, 나머지 2개 회색) 터치
2. MEIBO 터치 
3. HRK 동작 멈출 때까지 대기 
4. 조이스틱의 Shot 버튼 누름</t>
  </si>
  <si>
    <t>MEIBOGRAPHY MODE 화면의 하단중간 Image Captured 시현확인</t>
  </si>
  <si>
    <t xml:space="preserve">같은 환자번호에서, 여러 번 보냈을때 이미지가 덮어쓰여지는지 확인 필요.
</t>
  </si>
  <si>
    <t>1. "REF/KER 측정 MODE 화면"으로 이동(좌측상단의 홈 아이콘 터치)
2. "REF/KER 측정 MODE 화면"의 우측하단의 프린터 아이콘을 터치
3. HRK 동작 멈출 때까지 대기</t>
  </si>
  <si>
    <t>HRK-009</t>
  </si>
  <si>
    <t>이미지( MEIBO - 강조 ) 전송</t>
  </si>
  <si>
    <t>1. MEIBOGRAPHY MODE에 들어간다. 
2. 이미지를 촬영한다. 
3. 눈 모양 버튼을 touch하여 이미지 display 화면으로 들어가서 마이봄샘을 강조할 이미지 1장을 선택한다. 
4. 아이콘 버튼을 touch하여 마이봄샘을 강조한다. 
5. 프린트 버튼을 눌러 데이터를 전송한다. 
- Image Transmitting (1/1) 
: 캡쳐한 이미지 1장 전송중 
- Image Transfer Successful!
: 이미지 전송 성공
- Image Transfer Failed!
: 이미지 전송 실패 
6. 전송이 완료 되면, HDR( Server )에서 데이터를 수신 확인한다. (Patient ID가 동일한 마이봄샘 이미지가 저장되어 있었다면, 덮어씀) 
7. 전송 이후, AP 또는 Server 연결이 끊어지는지 확인한다.</t>
  </si>
  <si>
    <t>1. "REF/KER 측정 MODE 화면"의 좌측하단 부기기능 아이콘(2x2 Matrix 아이콘, 우상단, 좌하단 2개 파란색, 나머지 2개 회색) 터치
2. MEIBO 터치 
3. HRK 동작 멈출 때까지 대기 
4. 조이스틱의 Shot 아이콘 누름</t>
  </si>
  <si>
    <t>1. MEIBOGRAPHY 화면의 우측하단 이중 사각형 안 눈모양 아이콘을 터치</t>
  </si>
  <si>
    <t>"MEIBOGRAPHY MODE 이미지 시현화면"으로 화면전환 확인
(4개의 이미지가 한 화면에 4분할 되어 시현)</t>
  </si>
  <si>
    <t>1. MEIBOGRAPHY MODE 이미지 시현화면의 4장 중 마이봄샘을 강조할 이미지 1장을 선택한다. 
2. 선택된 이미지의 우측하단 마이봄샘 아이콘을 터치</t>
  </si>
  <si>
    <t>"MEIBOGRAPHY MODE 이미지 시현화면"의 선택된 화면의 우측하단 마이봄샘 아이콘의 마이봄샘 색상이 보라색으로 시현확인</t>
  </si>
  <si>
    <t>1. "REF/KER 측정 MODE 화면"으로 이동(좌측상단의 뒤로가기 아이콘 터치)
2. "REF/KER 측정 MODE 화면"으로 이동(좌측상단의 뒤로가기 아이콘 터치)
3. "REF/KER 측정 MODE 화면"으로 이동(홈 아이콘 터치)
4. "REF/KER 측정 MODE 화면"의 우측하단의 프린터 아이콘을 터치
5. HRK 동작 멈출 때까지 대기</t>
  </si>
  <si>
    <t>HRK-010</t>
  </si>
  <si>
    <t>Server 재연결 시 복구</t>
  </si>
  <si>
    <t xml:space="preserve">1. AP를 연결한다.
2. HDR(Server)을 연결한다.
3. 연결을 확인한 후, 임의의 Server의 AP 연결을 끊는다.
4. 임의의 Server AP 재접속을 진행한다.
5. HRK에서 끊어짐 표시를 확인한 후 데이터를 측정한다.
6. 데이터를 전송한다.
7. 전송목록에서 연결이 끊어진 Server의 아이콘 상태를 확인한다.
8. 아이콘을 눌러 재접속을 진행한 후 데이터를 전송한다.
9. Server에서 데이터를 수신 확인한다.
</t>
  </si>
  <si>
    <t>1. Server 접속상태 표시
2. Server와의 접속상태를 갱신하고, 데이터 전송 성공
3. 데이터 전송 실패시 에러메세지 확인( DR(Server)와 끊어짐 상태 표시 또는 전송실패 표시 )
4. 실패 이후 재전송 성공</t>
  </si>
  <si>
    <t>1. AP 연결 및 인증 확인(HRK-001)
2. Server 연결 확인(HRK-002, HDR에 연결)
3. SETUP MODE 화면으로 진입(홈 화면 우측 하단 톱니바퀴 아이콘 터치) 
4. SETUP MODE 화면-2 페이지-WIFI 탭으로 이동
5. TRANSFER TYPE를 Auto로 설정.
6. "REF/KER 측정 MODE 화면"으로 이동(SETUP MODE 화면에서 좌측상단 홈 아이콘 터치)</t>
  </si>
  <si>
    <t>"REF/KER 측정 MODE 화면" 시현확인</t>
  </si>
  <si>
    <t>전송 모드는 수동/자동 각각 설정하여 테스트 진행
측정 모드는 모드별로 테스트 진행
Server는 최소 1개, 최대 4개 늘려가면서 테스트 진행</t>
  </si>
  <si>
    <t>1. HDR / 
1) 1대 / 불
2) 2대 / 
2. HIIS / 
3. MATE /</t>
  </si>
  <si>
    <t>-. HRK-9000A CCD 타입은 AP끊었을 시, 아이콘 갱신이 다소 오래걸림(Ver26)
-. AP 재부팅 시, HDR에서 HRK와 자동 연결이 안되고, HRK에서 재시도를 하면 연결됨</t>
  </si>
  <si>
    <t>1. 모델아이 장착
2. 조이스틱 수동조작하여 모델아이의 눈동자를 화면 위치로 대략적 배치
3. OP 홈 화면 진입(OP Basic Operation 화면에서 좌측상단 홈 아이콘 터치)
4. OP QC Settings 화면 진입(OP 홈 화면에서 Shift+MENU 터치)
5. OP QC Settings 화면의 "Commnunication 탭"의 Connection 항목을 OFF로 터치.
6. OP QC Settings 화면의 OK 터치</t>
  </si>
  <si>
    <t>"REF/KER 측정 MODE 화면"에서 우측상단에서 *HDR 아이콘(미연결상태) 확인. 
범례
*HDR 아이콘(미연결상태) : 회색톤 아이콘 표기, 좌상단심볼 X 파란색으로 표기</t>
  </si>
  <si>
    <t>1. OP QC Settings 화면 진입(OP 홈 화면에서 Shift+MENU 터치)
2. OP QC Settings 화면의 "Commnunication 탭"의 Connection 항목을 ON로 터치.
3. OP QC Settings 화면의 OK 터치</t>
  </si>
  <si>
    <t>OP 홈 화면 시현확인</t>
  </si>
  <si>
    <t>1. "REF/KER 측정 MODE 화면"의 중간상단의 MEASURE 아이콘을 터치
2. "REF/KER 측정 MODE 화면"의 우측하단의 프린터 아이콘을 터치.</t>
  </si>
  <si>
    <t>HDR network connect 모달 시현확인</t>
  </si>
  <si>
    <t>1. "REF/KER 측정 MODE 화면"의 HDR network connect 모달에서 "HDR 재연결 시도 아이콘" 터치</t>
  </si>
  <si>
    <t>"REF/KER 측정 MODE 화면"의 HDR network connect 모달에서 "HDR 재연결 시도 아이콘" 이 "HDR 연결완료 아이콘" 으로 변경 확인</t>
  </si>
  <si>
    <t>1. "REF/KER 측정 MODE 화면"의 HDR network connect 모달에서 OK 터치
2. OP Basic Operation 화면 진입(OP 홈 화면에서 Basic Operation 터치)
3. OP 키보드의 LOAD 버튼 터치
4. OP Basic Operation 화면 좌측상단 LOAD DATA의 RK 버튼 터치</t>
  </si>
  <si>
    <t>"REF/KER 측정 MODE 화면" 좌측상단 차트번호와 OP Basic Operation 화면 좌측상단 LOAD DATA의 차트번호 비교결과, "REF/KER 측정 MODE 화면" 차트번호가 2차이 이상 임을 확인
(데이터 안들어온 것으로 판단)
TBD. 정상루틴인 건지 문제인건지 확인필요</t>
  </si>
  <si>
    <t>1. "REF/KER 측정 MODE 화면"의 중간상단의 MEASURE 아이콘을 터치
2. "REF/KER 측정 MODE 화면"의 우측하단의 프린터 아이콘을 터치. 
3. OP Basic Operation 화면 진입(OP 홈 화면에서 Basic Operation 터치)
4. OP 키보드의 LOAD 버튼 터치
5. OP Basic Operation 화면 좌측상단 LOAD DATA의 RK 버튼 터치</t>
  </si>
  <si>
    <t>"REF/KER 측정 MODE 화면" 좌측상단 차트번호와 OP Basic Operation 화면 좌측상단 LOAD DATA의 차트번호 비교결과, "REF/KER 측정 MODE 화면" 차트번호가 1이 더 큰지 확인</t>
  </si>
  <si>
    <t>"REF/KER 측정 MODE 화면"의 중간단의 좌우 R, L 데이터 목록과 OP Basic Operation 화면 상단중간 데이터 비교결과, S(SPH), C(CYLINDER), A(TBD)의 수치가 일치 상태확인(TBD. STEP 디옵터 설정 의존성 확인)</t>
  </si>
  <si>
    <t>HRK-011</t>
  </si>
  <si>
    <t>장비 재부팅 시 복구</t>
  </si>
  <si>
    <t>1. AP를 연결한다.
2. HDR(Server)을 연결한다.
3. 연결을 확인한 후, 장비의 전원을 off 한다.
4. 장비의 전원을 on 한다.
5. AP / HDR(Server) 재접속 여부를 확인한다.
6. 재접속이 되지않은경우, 수동으로 재접속을 진행한다.
7. 데이터를 측정한다.
8. Server에서 데이터를 수신 확인한다.</t>
  </si>
  <si>
    <t>1. AP 연결 및 인증 확인(HRK-001)
2. Server 연결 확인(HRK-002, HDR에 연결)
3. SETUP MODE 화면으로 진입(홈 화면 우측 하단 톱니바퀴 아이콘 터치) 
4. SETUP MODE 화면-2 페이지-WIFI 탭으로 이동
5. TRANSFER TYPE를 Auto로 설정.
6. "REF/KER 측정 MODE 화면"으로 이동(SETUP MODE 화면에서 좌측상단 홈 아이콘 터치)
7. 모델아이 장착
8. 조이스틱 수동조작하여 모델아이의 눈동자를 화면 위치로 대략적 배치</t>
  </si>
  <si>
    <t>모델아이의 눈의 윤곽이 "REF/KER 측정 MODE 화면"에 시현확인</t>
  </si>
  <si>
    <t>1. HTR 장비 스위치 OFF
2. TBD 초 이상 대기
3. HTR 장비 스위치 ON</t>
  </si>
  <si>
    <t>"REF/KER 측정 MODE 화면"의 우측상단 Wi-Fi &amp; HDR 정상연결 상태확인(아래의 범례와 같은 상태)
범례
*Wi-Fi 아이콘 : 회색으로 RSSI 신호세기 표기상태, 우하단심볼 미표기 
*DR 아이콘 : 회색으로 DR 표기, 우하단심볼 미표기</t>
  </si>
  <si>
    <t>1. 재접속이 되지않은경우, 수동으로 재접속을 진행한다.</t>
  </si>
  <si>
    <t xml:space="preserve">"REF/KER 측정 MODE 화면" 좌측상단 차트번호와 OP Basic Operation 화면 좌측상단 LOAD DATA의 차트번호 비교결과, "REF/KER 측정 MODE 화면" 차트번호가 1이 더 큰지 확인
</t>
  </si>
  <si>
    <t>HLM-001</t>
  </si>
  <si>
    <t>1. 사용자 설정에서 NETWORK - AP ID 스캔을 위해 SCAN버튼을 touch한다. 
2. AP list (popup창)에서 사용할 AP를 선택 한다.
3. AP 의 ID/Password 를 입력하고, Verify 버튼을 touch한다.
4. 인증 확인 메시지를 확인한다. 
- 성공시: AP Password is okay! 
- 실패시: Error code 확인</t>
  </si>
  <si>
    <t>1. SETUP 화면 진입(측정화면 우측하단 Gear 아이콘 터치) 
2. SETUP 화면-NETWORK 탭-1 페이지로 이동
3. AP ID 선택(2.4GHz AP SSID) ex&gt; MER****
4. Scan 버튼 터치</t>
  </si>
  <si>
    <t>( O, X )</t>
  </si>
  <si>
    <t>HLM-002</t>
  </si>
  <si>
    <t>1. AP를 연결한다.
2. 사용자 설정에서 NETWORK - 2page에 IP / Port 를 입력한다. (port (default: 2100))
3. 사용자 설정을 나와서 HDR(Server) 연결을 확인한다. 
4. 오른쪽 위 상단의 ICON 확인 
- 제품 4대 연결 가능. (HDR / HIIS) 
- 연결 성공 O, 연결 실패 X로 icon 위에 표시 (모두 연결시 O/X 표시 안함.)</t>
  </si>
  <si>
    <t>1. AP 연결 및 인증 확인(HLM-001)
2. SETUP 화면-NETWORK 탭-2 페이지 SSID 입력 
3. SETUP 화면-NETWORK 탭-2 페이지 IP 입력 ex&gt; 192.168.***.***
4. SETUP 화면-NETWORK 탭-2 페이지 Port 입력 ex&gt; 2100(default port)
5. 측정화면으로 이동(SETUP 화면의 좌측상단 BACK 버튼을 터치)</t>
  </si>
  <si>
    <t>측정화면에서 우측상단에서 *HDR 아이콘(정상 연결상태) 확인한다. 
범례
*HDR 아이콘(정상 연결상태) : 파란색톤 DR 아이콘 표기, 우상단심볼 미표기</t>
  </si>
  <si>
    <t>HLM-003</t>
  </si>
  <si>
    <t>측정데이터 전송 (수동모드)</t>
  </si>
  <si>
    <t>1. AP를 연결한다.
2. HDR(Server)을 연결한다.
3. 사용자 설정에서 NETWORK -Trans. Type (전송모드)를 Manual(수동)으로 설정한다.
4. 측정화면에서 측정렌즈를 LENS cap 위에 올려 두고 데이터를 측정한다.
5. 화면에 프린트 버튼을 touch 한다. 
6. HDR network connect 팝업창에서 HDR (server) 버튼을 touch하여, 데이터를 전송한다. 
7. HDR( Server )에서 데이터를 수신 확인한다.
8. 전송 이후, AP 또는 Server 연결이 끊어지는지 확인한다.</t>
  </si>
  <si>
    <t>1. AP 연결 및 인증 확인(HLM-001)
2. Server 연결 확인(HLM-002, HDR에 연결)
3. SETUP 화면- NETWORK -Trans. Type을 Manual로 설정.
4. 측정렌즈를 HLM의 LENS cap 위에 안착(측정화면 과녁에서 + 가 최대크기가 되는 지점에서)
5. HDR network connect 팝업창에서 HDR (server) 아이콘 터치</t>
  </si>
  <si>
    <t>HDR (Server)가 모두 연결된 경우 &gt; HDR network connect 팝업창 없이 데이터 전송 확인
HDR (Server)가 모두 연결되지 않은 경우 &gt; HDR network connect 팝업창 뜨고 데이터 전송 확인? 
두가지 경우의 수 모두 시험?(TBD)</t>
  </si>
  <si>
    <t>전송 모드는 수동/자동 각각 설정하여 테스트 진행
측정 모드는 모드별로 테스트 진행</t>
  </si>
  <si>
    <t>1. 측정화면의 우측하단의 프린터 아이콘을 터치. 
2. OP 키보드의 LOAD 버튼 클릭
3. OP Basic Operation 화면 좌측상단 LOAD DATA의 LM 버튼 터치</t>
  </si>
  <si>
    <t>측정화면 좌측상단 차트번호와 OP Basic Operation 화면 좌측상단 LOAD DATA의 차트번호 비교결과, 차트번호가 일치 상태확인</t>
  </si>
  <si>
    <t>측정화면 L, R 데이터와 OP Basic Operation 화면 상단중간 데이터 비교결과, S(SPH)의 수치가 일치 상태확인(TBD. STEP 디옵터 설정 의존성 확인)</t>
  </si>
  <si>
    <t>HLM-004</t>
  </si>
  <si>
    <t>측정데이터 전송 (자동모드)</t>
  </si>
  <si>
    <t>1. AP를 연결한다.
2. HDR(Server)을 연결한다.
3. 사용자 설정에서 NETWORK -Trans. Type(전송모드)를 Auto(자동)으로 설정한다.
4. 측정화면에서 측정렌즈를 LENS cap 위에 올려 두고 데이터를 측정한다.
5. 화면에 프린트 버튼을 touch 한다. 
6. HDR (Server)가 모두 연결된 경우, 팝업창이 뜨지 않고 데이터가 전송되는지 확인한다. 
- 1대 이상 연결된 경우, 모두 연결된 상태확인 
- 여러대 중 1~2대 연결이 끊어진 상태확인 (전송모드가 자동이어도, HDR network connect 팝업창이 떠야 정상) 
7. HDR( Server )에서 데이터를 수신 확인한다.
8. 전송 이후, AP 또는 Server 연결이 끊어지는지 확인한다.</t>
  </si>
  <si>
    <t>1. AP 연결 및 인증 확인(HLM-001)
2. Server 연결 확인(HLM-002, HDR에 연결)
3. SETUP 화면- NETWORK -Trans. Type을 Auto로 설정.
4. 측정렌즈를 HLM의 LENS cap 위에 안착(측정화면 과녁에서 + 가 최대크기가 되는 지점에서).
5. 측정화면의 우측하단의 프린터 아이콘을 터치.</t>
  </si>
  <si>
    <t>HLM-005</t>
  </si>
  <si>
    <t xml:space="preserve">1. AP를 연결한다.
2. HDR(Server)을 연결한다.
3. 연결을 확인한 후, 임의의 Server의 AP 연결을 끊는다.
4. 임의의 Server AP 재접속을 진행한다.
5. HLM에서 끊어짐 표시를 확인한 후 데이터를 측정한다.
6. 데이터를 전송한다.
7. 전송목록에서 연결이 끊어진 Server의 아이콘 상태를 확인한다.
8. 아이콘을 눌러 재접속을 진행한 후 데이터를 전송한다.
9. Server에서 데이터를 수신 확인한다.
</t>
  </si>
  <si>
    <t>1. AP 연결 및 인증 확인(HLM-001)
2. Server 연결 확인(HLM-002, HDR에 연결)
3. SETUP 화면- NETWORK -Trans. Type을 Auto로 설정.
4. 측정렌즈를 HLM의 LENS cap 위에 안착(측정화면 과녁에서 + 가 최대크기가 되는 지점에서).
5. 측정화면으로 이동</t>
  </si>
  <si>
    <t>측정화면의 우측상단 Wi-Fi &amp; HDR 정상연결 상태확인(아래의 범례와 같은 상태)
범례
*Wi-Fi 아이콘(정상 연결상태): 파란색으로 RSSI 신호세기 표기, 우하단심볼 미표기 
*HDR 아이콘(정상 연결상태) : 파란색톤 DR 아이콘 표기, 우상단심볼 미표기</t>
  </si>
  <si>
    <t>1. OP QC Settings 화면 진입(OP 홈 화면에서 Shift+MENU 터치)
2. OP QC Settings 화면의 "Commnunication 탭"의 Connection 항목을 OFF로 터치.
3. OP QC Settings 화면의 OK 터치</t>
  </si>
  <si>
    <t>측정화면에서 우측상단에서 *HDR 아이콘(미연결상태) 확인. 
범례
*HDR 아이콘(미연결상태) : 파란색톤 아이콘 표기, 우상단심볼 X 표기</t>
  </si>
  <si>
    <t>1. 측정화면의 우측하단의 프린터 아이콘을 터치.</t>
  </si>
  <si>
    <t>1. OP QC Settings 화면 진입(OP 홈 화면에서 Shift+MENU 터치)
2. OP QC Settings 화면의 "Commnunication 탭"의 Connection 항목을 ON으로 터치.
3. OP QC Settings 화면의 OK 터치</t>
  </si>
  <si>
    <t>1. 측정화면의 "HDR 재연결 시도 아이콘" 터치</t>
  </si>
  <si>
    <t>측정화면의 HDR network connect 모달에서 "HDR 재연결 시도 아이콘" 이 "HDR 연결완료 아이콘" 으로 변경 확인</t>
  </si>
  <si>
    <t>1. 측정화면의 HDR network connect 모달에서 OK 터치
2. 측정화면의 우측하단의 프린터 아이콘을 터치. 
3. OP Basic Operation 화면 진입(OP 홈 화면에서 Basic Operation 터치)
4. OP 키보드의 LOAD 버튼 터치
5. OP Basic Operation 화면 좌측상단 LOAD DATA의 LM 버튼 터치</t>
  </si>
  <si>
    <t>측정화면 좌측상단 차트번호와 OP Basic Operation 화면 좌측상단 LOAD DATA의 차트번호 비교결과, 측정화면 차트번호가 1이 더 큰지 확인</t>
  </si>
  <si>
    <t>HLM-006</t>
  </si>
  <si>
    <t>1. AP 연결 및 인증 확인(HLM-001)</t>
  </si>
  <si>
    <t>HLM 장비 화면이 꺼짐을 확인</t>
  </si>
  <si>
    <t>1. 측정렌즈를 HLM의 LENS cap 위에서 제거한다
2. HLM 장비 스위치 ON
3. HLM 장비 부팅 및 Wi-Fi &amp; HDR 재연결시도 대기</t>
  </si>
  <si>
    <t xml:space="preserve">
1. 측정렌즈를 HLM의 LENS cap 위에 안착(측정화면 과녁에서 + 가 최대크기가 되는 지점에서)
2. 측정화면의 우측하단의 프린터 아이콘을 터치
3. OP Basic Operation 화면 진입(OP 홈 화면에서 Basic Operation 터치)
4. OP 키보드의 LOAD 버튼 터치
5. OP Basic Operation 화면 좌측상단 LOAD DATA의 LM 버튼 터치</t>
  </si>
  <si>
    <t>HTR-001</t>
  </si>
  <si>
    <t>1. AP를 스캔 / 선택 한다.
2. AP 의 ID/Password 를 입력하고, 인증한다.
3. 인증 확인 메시지를 확인한다.</t>
  </si>
  <si>
    <t>1. Setup 화면 진입(홈 화면의 우측하단 Gear 아이콘 터치) 
2. Setup 화면-Commnunication 탭-2 페이지으로 이동
3. AP SSID 입력 ex&gt; MER****
4. Scan 버튼 터치
5. 연결 가능한 AP List가 모달로서 시현</t>
  </si>
  <si>
    <t>HTR-002</t>
  </si>
  <si>
    <t>1. AP를 연결한다.
2. HDR IP / Port 를 입력한다.
3. 설정화면을 나와서 HDR(Server) 연결을 확인한다.</t>
  </si>
  <si>
    <t>1. DR 연결 성공
2. 실패시 에러메세지 확인</t>
  </si>
  <si>
    <t>1. AP 연결 및 인증 확인(HTR-001)
2. Setup 화면 진입(홈 화면의 우측하단 Gear 아이콘 터치) 
3. Setup 화면-IP ADDRESS 탭으로 이동
4. HDR Nickname 입력 ex&gt; HDR9000_1(연결할 Nickname)
5. HDR IP 입력 ex&gt; 192.168.***.***(연결할 HDR IP)
6. HDR Port 입력 ex&gt; 2100(연결할 Port)
7. HDR 연결할 항목에 대한 Checkbox를 터치(V 표기 시현되도록)</t>
  </si>
  <si>
    <t>홈 화면의 우측상단 Wi-Fi &amp; HDR 정상연결 상태확인(아래의 범례와 같은 상태)
범례
*Wi-Fi 아이콘 : 회색으로 RSSI 신호세기 표기상태, 우하단심볼 미표기 
*DR 아이콘 : 회색으로 DR 표기, 우하단심볼 미표기</t>
  </si>
  <si>
    <t>HTR-003</t>
  </si>
  <si>
    <t>1. AP를 연결한다.
2. HDR(Server)을 연결한다.
3. 전송모드를 수동으로 설정한다.
4. 데이터를 측정한다.
5. 아이콘을 클릭하여 데이터를 전송한다.
6. HDR( Server )에서 데이터를 수신 확인한다.
7. 전송 이후, AP 또는 Server 연결이 끊어지는지 확인한다.</t>
  </si>
  <si>
    <t xml:space="preserve">- HTR 1대
- AP(2.4GHz) 1대
- HDR-9000 1대
</t>
  </si>
  <si>
    <t>1. 모델아이 장착
2. 홈 화면 좌측상단 RK 선택
3. 조이스틱 수동조작하여 모델아이의 눈동자를 화면 위치로 대략적 배치 
4. MANUAL 설정(TBD)
5. 홈 화면 우측상단 START 터치
6. 홈 화면 우측하단 PRINT 터치
7. OP 키보드의 LOAD 버튼 터치
8. OP Basic Operation 화면 좌측상단 LOAD DATA의 RK 버튼 터치</t>
  </si>
  <si>
    <t>홈 화면 좌측상단 차트번호와 OP Basic Operation 화면 좌측상단 LOAD DATA의 차트번호 비교결과, 차트번호가 일치 상태확인</t>
  </si>
  <si>
    <t>1. OP Basic Operation 화면 좌측상단 LOAD DATA의 차트번호 터치
2. 홈 화면 좌측 Data List 버튼 터치</t>
  </si>
  <si>
    <t>홈 화면 Data List의 데이터와 OP Basic Operation 화면 상단중간 데이터 비교결과, S(SPH)의 수치가 일치 상태확인(TBD. STEP 디옵터 설정 의존성 확인)</t>
  </si>
  <si>
    <t>HTR-004</t>
  </si>
  <si>
    <t>1. AP를 연결한다.
2. HDR(Server)을 연결한다.
3. 전송모드를 자동으로 설정한다.
4. 데이터를 측정한다.
5. 데이터를 전송한다.
6. HDR( Server )에서 데이터를 수신 확인한다.
7. 전송 이후, AP 또는 Server 연결이 끊어지는지 확인한다.</t>
  </si>
  <si>
    <t>1. 모델아이 장착
2. 홈 화면 좌측상단 RK 선택
3. 조이스틱 수동조작하여 모델아이의 눈동자를 화면 위치로 대략적 배치 
4. AUTO 설정(TBD)
5. 홈 화면 우측상단 START 터치
6. OP 키보드의 LOAD 버튼 터치
7. OP Basic Operation 화면 좌측상단 LOAD DATA의 RK 버튼 터치</t>
  </si>
  <si>
    <t>HTR-005</t>
  </si>
  <si>
    <t xml:space="preserve">
1. 이미지를 촬영한다. ( 최소1장, 최대4장, OD/OS 무관 )
2. 데이터를 전송한다.
3. HDR( Server )에서 데이터를 수신 확인한다.
4. 전송 이후, AP 또는 Server 연결이 끊어지는지 확인한다.
</t>
  </si>
  <si>
    <t>1. 홈 화면 좌측하단 부가기능 아이콘(2x2 Matrix 아이콘, 좌상단 1개 파란색, 나머지 3개 회색) 터치
2. Retro-Illum 터치 
3. 조이스틱의 Shot 버튼 누름</t>
  </si>
  <si>
    <t>Retro-Illum 화면 하단중간 Image Captured 시현확인
전송된 이미지 데이터 OP하위UI 위치확인필요(TBD)</t>
  </si>
  <si>
    <t>HTR-006</t>
  </si>
  <si>
    <t>1. 홈 화면 좌측하단 부가기능 아이콘(2x2 Matrix 아이콘, 좌상단 1개 파란색, 나머지 3개 회색) 터치
2. Color 터치 
3. 조이스틱의 Shot 버튼 누름</t>
  </si>
  <si>
    <t>Color View 화면 하단중간 Image Captured 시현확인
전송된 이미지 데이터 OP하위UI 위치확인필요(TBD)</t>
  </si>
  <si>
    <t>HTR-007</t>
  </si>
  <si>
    <t>1. 홈 화면 좌측하단 부가기능 아이콘(2x2 Matrix 아이콘, 좌상단 1개 파란색, 나머지 3개 회색) 터치
2. TFBUT 터치 
3. 조이스틱의 Shot 버튼 누름
4. 조이스틱의 Shot 버튼 누름</t>
  </si>
  <si>
    <t>HTR TFBUT 화면 중간하단 Timestamp 멈춤 확인
전송된 이미지 데이터 OP하위UI 위치확인필요(TBD)</t>
  </si>
  <si>
    <t>HTR-008</t>
  </si>
  <si>
    <t>1. 홈 화면 좌측하단 부가기능 아이콘(2x2 Matrix 아이콘, 좌상단 1개 파란색, 나머지 3개 회색) 터치
2. Meibo 터치 
3. 조이스틱의 Shot 버튼 누름</t>
  </si>
  <si>
    <t>HTR Meibo 화면 하단중간 Image Captured 시현확인
전송된 이미지 데이터 OP하위UI 위치확인필요(TBD)</t>
  </si>
  <si>
    <t>HTR-009</t>
  </si>
  <si>
    <t>AP 재부팅 시 복구</t>
  </si>
  <si>
    <t xml:space="preserve">1. HTR 과 AP를 연결한다.
2. AP 의 전원을 off 한다. 
3. HTR에서 AP 연결 끊어짐 상태를 확인한다.
4. AP 의 전원을 on 한다.
5. HTR에서 AP 연결 됨 상태를 확인한다.
</t>
  </si>
  <si>
    <t>1. AP 와의 연결/끊어짐 상태 표시
2. AP 재부팅 후 자동 재연결 성공
3. AP 재연결 후 AP, IP 정보 갱신</t>
  </si>
  <si>
    <t>1. AP 연결 및 인증 확인(HTR-001)</t>
  </si>
  <si>
    <t>홈 화면의 우측상단 Wi-Fi 아이콘이 연결 상태확인(범례와 묘사와 같은 상태, TBD 초간 지속)
범례
*Wi-Fi 아이콘: 회색으로 RSSI 신호세기 표기상태, 우하단심볼 미표기</t>
  </si>
  <si>
    <t>1. AP 전원 DC 배럴 잭 분리(전원 OFF)
2. Wi-Fi 아이콘 갱신 대기(약 TBD초)</t>
  </si>
  <si>
    <t>홈 화면의 우측상단 Wi-Fi 아이콘이 미연결 상태확인(범례의 묘사와 다른 상태)
범례
*Wi-Fi 아이콘: 회색으로 RSSI 신호세기 표기상태, 우하단심볼 미표기</t>
  </si>
  <si>
    <t>AP 와 연결된 이후에는 주기적으로 연결 상태확인하고 필요하면 재시도 동작</t>
  </si>
  <si>
    <t>1. AP 전원 DC 배럴 잭 연결(전원 ON)
2. Wi-Fi 아이콘 갱신 대기(약 TBD초)</t>
  </si>
  <si>
    <t>HTR-010</t>
  </si>
  <si>
    <t>1. AP를 연결한다.
2. HDR(Server)을 연결한다.
3. 연결을 확인한 후, 임의의 Server의 AP 연결을 끊는다.
4. 임의의 Server AP 재접속을 진행한다.
5. HTR에서 끊어짐 표시를 확인한 후 데이터를 측정한다.
6. 데이터를 전송한다.
7. 전송목록에서 연결이 끊어진 Server의 아이콘 상태를 확인한다.
8. 아이콘을 눌러 재접속을 진행한 후 데이터를 전송한다.
9. Server에서 데이터를 수신 확인한다.</t>
  </si>
  <si>
    <t>홈 화면의 우측상단 HDR 아이콘 상태가 우하단심볼 노란색 삼각형과 느낌표 표기확인</t>
  </si>
  <si>
    <t>1. OP QC Settings 화면 진입(OP 홈 화면에서 Shift+MENU 터치)
2. OP QC Settings 화면의 "Commnunication 탭"의 Connection 항목을 ON으로 터치.
3. OP QC Settings 화면의 OK 터치
4. 홈 화면 상단중앙 START 터치 (TBD 전송 중 재연결됨)</t>
  </si>
  <si>
    <t>Check connection with Server(파란색 통신성공 표기) 비모달 시현확인 후 연달아
Data transfer completed(파란색 통신성공 표기) 비모달 시현확인</t>
  </si>
  <si>
    <t>1. OP Basic Operation 화면 진입(OP 홈 화면에서 Basic Operation 터치)
2. OP 키보드의 LOAD 버튼 터치
3. OP Basic Operation 화면 좌측상단 LOAD DATA의 RK 버튼 터치</t>
  </si>
  <si>
    <t>HTR-011</t>
  </si>
  <si>
    <t>HDR-001</t>
  </si>
  <si>
    <t>1. AP를 준비한다.
2. HDR에서 AP를 스캔하고, AP 목록을 확인한다.
3. AP 목록에서 AP를 선택하고, Password 를 입력한다.
4. DHCP 를 선택하고 Verify 버튼을 눌러 AP 연결 및 IP주소를 할당받는다.
5. IP 주소, Subnet, Gateway 정보를 확인한다.
6. Static 방식을 선택하고, 다시 Verify 버튼을 눌러 AP 연결을 진행한다.</t>
  </si>
  <si>
    <t>1. 연결 가능한 AP 목록 (SSID/RSSI 순서)
2. AP 연결 성공
3. AP 인증 성공
4. IP 주소, Subnet, Gateway 정보 확인
5. DHCP, Static 방식에서 AP 연결 여부 확인</t>
  </si>
  <si>
    <t>- HDR-9000 1대
- AP(2.4GHz) 1대</t>
  </si>
  <si>
    <t>1. OP QC Settings 화면 진입(OP 홈 화면에서 Shift+MENU 터치)
2. OP QC Settings 화면의 "Commnunication 탭"의 Connection 항목을 ON으로 터치.
3. 돋보기 아이콘(Scan) 터치</t>
  </si>
  <si>
    <t>2.4GHz, 5GHz AP 에서
각각 수행</t>
  </si>
  <si>
    <t>OP QC Settings 화면 진입 위해, OP 홈 화면에서 Shift+MENU 터치 시 간헐적 미인식</t>
  </si>
  <si>
    <t>1. AP List에서 연결할 AP SSID 터치(2.4GHz 지원 AP SSID 선택) ex&gt; MER****
2. AP Password 입력창 터치 및 비밀번호 입력
3. Verify 버튼 터치
4. AP List에서 OK 터치</t>
  </si>
  <si>
    <t>HDR-002</t>
  </si>
  <si>
    <t>1. HDR 과 AP를 연결한다.
2. AP 의 전원을 off 한다. 
3. HDR에서 AP 연결 끊어짐 상태를 확인한다.
4. AP 의 전원을 on 한다.
5. HDR에서 AP 연결 됨 상태를 확인한다.</t>
  </si>
  <si>
    <t>1. AP 연결 및 인증 확인(HDR-001)</t>
  </si>
  <si>
    <t>홈 화면의 우측상단 Wi-Fi 아이콘이 연결 상태확인(범례와 묘사와 같은 상태, TBD 초간 지속)
범례
*Wi-Fi 아이콘: 파란색으로 RSSI 신호세기 표기, 우하단심볼 미표기</t>
  </si>
  <si>
    <t>1. AP 전원 DC 배럴 잭 분리(전원 OFF)</t>
  </si>
  <si>
    <t>1. AP 전원 DC 배럴 잭 연결(전원 ON)</t>
  </si>
  <si>
    <t>HDR-003</t>
  </si>
  <si>
    <t>장비 연결 및 데이터 수신(HRK)</t>
  </si>
  <si>
    <t>1. HDR 과 AP를 연결한다.
2. HRK 장비에서 HDR IP/PORT 정보를 입력하여, 연결을 진행한다.
3. HDR에서 RK 연결됨 상태를 확인한다.
4. HRK에서 데이터를 전송한다. 
5. HDR에서 RK 데이터 수신 확인한다.</t>
  </si>
  <si>
    <t>1. AP 연결 상태 표시
2. RK 연결 상태 표시
3. RK 데이터 확인</t>
  </si>
  <si>
    <t>- HDR-9000 1대
- AP(2.4GHz) 1대
- HRK 1대</t>
  </si>
  <si>
    <t>1. HRK-004(TEST ID)을 수행한다.</t>
  </si>
  <si>
    <t>HRK-004(TEST ID)의 Actual Result와 동등한 결과를 확인한다.</t>
  </si>
  <si>
    <t>장비가 여러개인경우 동시 데이터 전송 테스트 필요</t>
  </si>
  <si>
    <t>HDR-004</t>
  </si>
  <si>
    <t>장비 연결 및 데이터 수신(HLM)</t>
  </si>
  <si>
    <t>1. HDR 과 AP를 연결한다.
2. HLM 장비에서 HDR IP/PORT 정보를 입력하여, 연결을 진행한다.
3. HDR에서 LM 연결됨 상태를 확인한다.
4. HLM에서 데이터를 전송한다. 
5. HDR에서 LM 데이터 수신 확인한다.</t>
  </si>
  <si>
    <t>1. AP 연결 상태 표시
2. LM 연결 상태 표시
3. LM 데이터 확인</t>
  </si>
  <si>
    <t>- HDR-9000 1대
- AP(2.4GHz) 1대
- HLM 1대</t>
  </si>
  <si>
    <t>1. HLM-004(TEST ID)을 수행한다.</t>
  </si>
  <si>
    <t>HLM-004(TEST ID)의 Actual Result와 동등한 결과를 확인한다.</t>
  </si>
  <si>
    <t>HDR-005</t>
  </si>
  <si>
    <t>장비 연결 및 데이터 수신(HTR)</t>
  </si>
  <si>
    <t>1. HDR 과 AP를 연결한다.
2. HTR 장비에서 HDR IP/PORT 정보를 입력하여, 연결을 진행한다.
3. HDR에서 RK 연결됨 상태를 확인한다.
4. HLM에서 데이터를 전송한다. 
5. HDR에서 RK 데이터 수신 확인한다.</t>
  </si>
  <si>
    <t>- HDR-9000 1대
- AP(2.4GHz) 1대
- HTR 1대</t>
  </si>
  <si>
    <t>1. HTR-004(TEST ID)을 수행한다</t>
  </si>
  <si>
    <t>HTR-004(TEST ID)의 Actual Result와 동등한 결과를 확인한다.</t>
  </si>
  <si>
    <t>HTR의 경우, NT 데이터도 함께 전송하는 케이스도 테스트 필요.
장비가 여러개인경우 동시 데이터 전송 테스트 필요</t>
  </si>
  <si>
    <t>HDR-006</t>
  </si>
  <si>
    <t>장비 재연결 시 복구</t>
  </si>
  <si>
    <t>1. AP를 연결한다.
2. HRK/HLM/HTR 장비에서 HDR IP/PORT 정보를 입력하여, 연결을 진행한다.
3. HDR에서 RK/LM 연결됨 상태를 확인한다.
3. HRK/HLM/HTR 의 전원을 off 한다.
4. HRK/HLM/HTR 의 전원을 on 하고, AP, HDR 을 연결한다.
5. HRK/HLM/HTR에서 데이터를 전송한다.
6. HDR에서 RK/LM 데이터 수신 확인한다.</t>
  </si>
  <si>
    <t>1. AP 연결상태 표시
2. RK / LM 연결 상태 표시
3. RK / LM 데이터 확인</t>
  </si>
  <si>
    <t>- HDR-9000 1대
- AP(2.4GHz) 1대
- HRK 1대
- HLM 1대
- HTR 1대</t>
  </si>
  <si>
    <t>1. AP 연결 및 인증 확인(HDR-001)
2. HTR-003(TEST ID)을 수행한다
3. HTR-004(TEST ID)을 수행한다
4. HTR-005(TEST ID)을 수행한다
3. HRK/HLM/HTR의 전원을 각각 OFF 한다.
4. OP Basic Operation 화면 진입(OP 홈 화면에서 Basic Operation 터치)</t>
  </si>
  <si>
    <t>OP Basic Operation 화면 우측상단 연결된 장비들의 아이콘의 미연결 상태확인(아래의 범례와 같은 상태)
범례
*Wi-Fi 아이콘(정상 연결상태): 파란색으로 RSSI 신호세기 표기, 우하단심볼 미표기
*HRK 아이콘(미연결상태) : 회색톤 RK 아이콘 표기, 좌하단심볼 X 표기
*HLM 아이콘(미연결상태) : 회색톤 LM 아이콘 표기, 좌하단심볼 X 표기
*HTR 아이콘(미연결상태) : 회색톤 TR(TBD) 아이콘 표기, 좌하단심볼 X 표기
TBD:
동시 여러 개에 대한 테스트는 하였음. 
베타적으로 장비 전원 OFF 시 하나씩 테스트도 필요한가?</t>
  </si>
  <si>
    <t>장비 전원 OFF 시 하나씩 또는 동시 여러 개에 대한 테스트도 필요</t>
  </si>
  <si>
    <t>1. HRK/HLM/HTR 의 전원을 ON 한다.</t>
  </si>
  <si>
    <t>OP Basic Operation 화면 우측상단 연결된 장비들의 아이콘의 정상연결 상태확인(아래의 범례와 같은 상태)
범례
*Wi-Fi 아이콘(정상 연결상태): 파란색으로 RSSI 신호세기 표기, 우하단심볼 미표기 
*HRK 아이콘(정상 연결상태) : 파란색톤 RK 아이콘 표기, 우상단심볼 미표기
*HLM 아이콘(정상 연결상태) : 파란색톤 LM 아이콘 표기, 우상단심볼 미표기
*HTR 아이콘(정상 연결상태) : 파란색톤 TR(TBD) 아이콘 표기, 우상단심볼 미표기</t>
  </si>
  <si>
    <t>전원 OFF (TBD 의미확인필요, 오입력 일 수 있음.)</t>
  </si>
  <si>
    <t>1. HRK의 "REF/KER 측정 MODE 화면"의 중간상단의 MEASURE 아이콘을 터치
2. HRK의 "REF/KER 측정 MODE 화면"의 우측하단의 프린터 아이콘을 터치. 
3. OP 키보드의 LOAD 버튼 클릭
4. OP Basic Operation 화면 좌측상단 LOAD DATA의 RK 버튼 터치</t>
  </si>
  <si>
    <t>HRK의 "REF/KER 측정 MODE 화면" 좌측상단 차트번호와 OP Basic Operation 화면 좌측상단 LOAD DATA의 차트번호 비교결과, 측정화면 차트번호가 1이 더 큰지 확인</t>
  </si>
  <si>
    <t>HRK의 "REF/KER 측정 MODE 화면"의 중간단의 좌우 R, L 데이터 목록과 OP Basic Operation 화면 상단중간 데이터 비교결과, S(SPH), C(CYLINDER), A(TBD)의 수치가 일치 상태확인(TBD. STEP 디옵터 설정 의존성 확인)</t>
  </si>
  <si>
    <t>1. 측정렌즈를 HLM의 LENS cap 위에 안착(측정화면 과녁에서 + 가 최대크기가 되는 지점에서)
2. HLM의 측정화면의 HDR network connect 팝업창에서 HDR (server) 아이콘 터치
3. HLM의 측정화면의 우측하단의 프린터 아이콘을 터치. 
4. OP 키보드의 LOAD 버튼 클릭
5. OP Basic Operation 화면 좌측상단 LOAD DATA의 LM 버튼 터치</t>
  </si>
  <si>
    <t>HLM의 측정화면 좌측상단 차트번호와 OP Basic Operation 화면 좌측상단 LOAD DATA의 차트번호 비교결과, 차트번호가 일치 상태확인</t>
  </si>
  <si>
    <t>HLM의 측정화면 좌우배치된 L, R 데이터와 OP Basic Operation 화면 상단중간 데이터 비교결과, S(SPH)의 수치가 일치 상태확인(TBD. STEP 디옵터 설정 의존성 확인)</t>
  </si>
  <si>
    <t>1. HTR에 모델아이 장착
2. HTR의 홈 화면 좌측상단 RK 선택
3. HTR의 조이스틱 수동조작하여 모델아이의 눈동자를 화면 위치로 대략적 배치 
4. HTR의 MANUAL 설정(TBD)
5. HTR의 홈 화면 우측상단 START 터치
6. HTR의 홈 화면 우측하단 PRINT 터치
7. OP 키보드의 LOAD 버튼 터치
8. OP Basic Operation 화면 좌측상단 LOAD DATA의 RK 버튼 터치</t>
  </si>
  <si>
    <t>HLM의 측정화면 좌우배치된 L, R 데이터</t>
  </si>
  <si>
    <t>HTR의 홈 화면 Data List의 데이터와 OP Basic Operation 화면 상단중간 데이터 비교결과, S(SPH)의 수치가 일치 상태확인(TBD. STEP 디옵터 설정 의존성 확인)</t>
  </si>
  <si>
    <t>HDR-007</t>
  </si>
  <si>
    <t>HIIS-1 연결 및 데이터 전송</t>
  </si>
  <si>
    <t>1. AP를 연결한다.
2. WebViewer IP/port 를 입력한다.
3. HDR에서 SUBJ / FIN 데이터를 전송한다.
4. HIIS-1에서 SUBJ / FIN 데이터 수신 확인한다.</t>
  </si>
  <si>
    <t>1. AP 연결상태 표시
2. HIIS-1 데이터 전송 확인</t>
  </si>
  <si>
    <t>- HDR-9000 1대
- AP(2.4GHz) 1대
- HIIS-1 1대</t>
  </si>
  <si>
    <t>HIIS-1은 동글이 활성화되어있어야하며, Refraction exam을 생성하여 확인하여야 한다.</t>
  </si>
  <si>
    <t>HDR-008</t>
  </si>
  <si>
    <t>차트 연결 및 데이터 전송</t>
  </si>
  <si>
    <t>1. HDR 과 AP를 연결한다. 
2. HDC 와 AP를 연결한다.
3. HDR에서 HDC IP 주소를 설정하고, 연결한다.
4. HDR에서 DC 연결됨 상태를 확인한다.
5. HDR에서 데이터를 전송한다.
6. HDC에서 HDR 데이터 수신 확인한다.</t>
  </si>
  <si>
    <t xml:space="preserve">1. AP 연결상태 표시
2. DC 연결상태 표시
</t>
  </si>
  <si>
    <t>- HDR-9000 1대
- AP(2.4GHz) 1대
- HDC 1대</t>
  </si>
  <si>
    <t>1. HDC-005(TEST ID)를 수행한다.</t>
  </si>
  <si>
    <t>HDC-005(TEST ID)의 Actual Result와 동등한 결과를 확인한다.</t>
  </si>
  <si>
    <t>DC와 연결이후, DC 연결상태 아이콘 체크필요.
DR에서 차트 이미지 클릭시 DC 재연결 동작 확인필요.</t>
  </si>
  <si>
    <t>HDR-009</t>
  </si>
  <si>
    <t>차트 재연결 시 복구</t>
  </si>
  <si>
    <t xml:space="preserve">1. HDR, HDC, AP를 연결한다. 
2. HDR에서 DC 연결됨 상태를 확인한다.
3. HDC 의 전원을 off 한다. 
4. HDC 의 전원을 on 하고, AP 을 연결한다.
5. HDR에서 데이터를 전송한다. 
6. HDC에서 HDR 데이터 수신 확인한다.
7. HDR에서 AP 연결을 끊고, 다시 연결한다. 
8. HDR에서 데이터를 전송한다. 
9. HDC에서 HDR 데이터 수신 확인한다. 
</t>
  </si>
  <si>
    <t>1. AP 연결 상태 표시
2. DC 연결 상태 표시</t>
  </si>
  <si>
    <t>1. HDC 모니터 하당중앙부 전원 버튼을 꺼질때까지 HOLD한다</t>
  </si>
  <si>
    <t>HDC 모니터의 화면이 검은색으로 전원 OFF 확인</t>
  </si>
  <si>
    <t>1. HDC 모니터 하당중앙부 전원 버튼을 켜질때까지 HOLD한다</t>
  </si>
  <si>
    <t>HDC 모니터의 화면에 전원 ON 확인</t>
  </si>
  <si>
    <t>홈 화면의 우측상단 Wi-Fi 아이콘이 미연결 상태확인(범례의 묘사와 다른 상태)
범례
*Wi-Fi 아이콘: 회색으로 RSSI 신호세기 표기상태, 우하단심볼 빨간색 X 표기</t>
  </si>
  <si>
    <t>홈 화면의 우측상단 Wi-Fi 아이콘이 연결 상태확인(범례와 묘사와 같은 상태, TBD 초간 지속)
범례
*Wi-Fi 아이콘: 파란색으로 RSSI 신호세기 표기상태, 우하단심볼 미표기</t>
  </si>
  <si>
    <t>HDC-001</t>
  </si>
  <si>
    <t>1. 설정 화면에서 Wi-Fi SCAN 버튼 선택
2. AP 목록 표시 확인 (SSID / 신호강도 순 정렬)
3. 연결할 AP 선택
4. Password 입력 → 연결 실행
5. 연결 성공 메시지 및 Wi-Fi 아이콘 확인</t>
  </si>
  <si>
    <t>AP 연결 성공, 상단 Wi-Fi 상태 아이콘 갱신</t>
  </si>
  <si>
    <t>- HDC 1대
- AP(2.4GHz) 1대</t>
  </si>
  <si>
    <t>1. SETTING 화면 진입(HDC Remote Controller의 MENU 버튼과, 삼각형방향표지 버튼 활용)
2. SETTING 화면의 Wi-Fi 탭으로 이동(HDC Remote Controller의 삼각형방향표지 버튼 활용)
2. SCAN 버튼 선택(좌측 삼각형방향표지 하단 [RANDOM] 버튼 활용)</t>
  </si>
  <si>
    <t>1. 연결할 AP 선택(HDC Remote Controller 삼각형방향표지 및 좌측 삼각형방향표지 하단 [RANDOM] 버튼 활용)</t>
  </si>
  <si>
    <t>AP SSID 입력박스에 선택된 SSID 시현확인</t>
  </si>
  <si>
    <t>1. Input 버튼 선택(AP P/W 입력)
2. Verify 버튼 선택</t>
  </si>
  <si>
    <t>SETTING 화면 우측상단 Wi-Fi 아이콘 정상연결 상태확인(아래의 범례와 같은 상태)
범례
*Wi-Fi 아이콘 : 파란색으로 RSSI 신호세기 표기, 우하단심볼 미표기</t>
  </si>
  <si>
    <t>HDC-002</t>
  </si>
  <si>
    <t>1. HDC 과 AP를 연결한다. (HDC-001)
2. AP 의 전원을 off 한다. 
3. HDC에서 AP 연결 끊어짐 상태를 확인한다.
4. AP 의 전원을 on 한다.
5. HDC에서 AP 연결 됨 상태를 확인한다.</t>
  </si>
  <si>
    <t>1. AP 연결 및 인증 확인(HDC-001)</t>
  </si>
  <si>
    <t>SETTING 화면 우측상단 Wi-Fi 아이콘 미연결 상태확인(아래의 범례와 같은 상태)
범례
*Wi-Fi 아이콘 : 파란색으로 RSSI 신호세기 표기, 우하단심볼 빨간색 X 표기</t>
  </si>
  <si>
    <t>HDC-003</t>
  </si>
  <si>
    <t>DHCP 선택</t>
  </si>
  <si>
    <t>1. AP 연결 후 (HDC-001) TCP/IP에서 DHCP 선택 → Verify
2. IP Address,Netmask,Gateway,DNS 1 or 2 를 자동으로 받아오는지 확인한다.</t>
  </si>
  <si>
    <t>IP Address, Netmask, Gateway, DNS를 
자동으로 받아오고 수정이 불가능하다.</t>
  </si>
  <si>
    <t>1. SETTING 화면의 TCP/IP 탭에서 DHCP 선택
2. Verify 선택</t>
  </si>
  <si>
    <t>SETTING 화면의 TCP/IP 탭에서 
IP Address, Netmask, Gateway, DNS 1 또는 
IP Address, Netmask, Gateway, DNS 2 자동부여 확인</t>
  </si>
  <si>
    <t>HDC-004</t>
  </si>
  <si>
    <t>Static 선택</t>
  </si>
  <si>
    <t>1. AP 연결 후 (HDC-001) TCP/IP에서 Static 선택 
2. IP Address를 변경해본다. (보통 가장 마지막 숫자만 변경함)
3. Verify 
4. Web Service 탭에서 Address 변경 확인</t>
  </si>
  <si>
    <t>IP Address, Netmask, Gateway, DNS를
수정 할 수 있다.</t>
  </si>
  <si>
    <t>IP 충돌 시 간헐적 끊길 수 있음 주의</t>
  </si>
  <si>
    <t>1. SETTING 화면 진입(HDC Remote Controller의 MENU 버튼과, 삼각형방향표지 버튼 활용) 
2. SETTING 화면의 TCP/IP 탭에서 Static 선택
3. IP Address Row 의 Input 을 선택.
4. IP Address의 가장 마지막 숫자 임의변경
5. Verify
6. Done! 모달의 OK 닫기
7. SETTING 화면의 Web Service 탭으로 이동(HDC Remote Controller의 삼각형방향표지 버튼 활용)</t>
  </si>
  <si>
    <t>Web Service 탭에서 "- Address" 의 Value 가 임의변경된 IP와 같은지 확인</t>
  </si>
  <si>
    <t>HDC-005</t>
  </si>
  <si>
    <t>DR Connect ON 확인(DHCP)</t>
  </si>
  <si>
    <t>1. AP 연결 후(HDC-001), HDC-003에서 DHCP로 설정하고,
Web service 탭에서 DR connect ON 클릭
2. HDR과 Wi-Fi 연결 후 HDR에서 차트 동작을 진행해본다.</t>
  </si>
  <si>
    <t>HDR과 정상적으로 정상적으로 연결될 경우,
차트 변경이 진행됨.</t>
  </si>
  <si>
    <t>- HDC 1대
- AP(2.4GHz) 1대
- HDR-9000 1대</t>
  </si>
  <si>
    <t>1. SETTING 화면의 TCP/IP 탭에서 Type 을 DHCP로 선택</t>
  </si>
  <si>
    <t>SETTING 화면의 TCP/IP 탭에서 
IP Address, Netmask, Gateway, DNS 1 또는 
IP Address, Netmask, Gateway, DNS 2 에 대한 각 Value는 회색문자로 표기</t>
  </si>
  <si>
    <t>1. SETTING 화면의 Web service 탭에서 DR connect 항목을 ON으로 선택</t>
  </si>
  <si>
    <t>SETTING 화면의 Web service 탭에서 "- Address" 항목에 IP Address 값 시현확인</t>
  </si>
  <si>
    <t>1. OP QC Settings 화면 진입(OP 홈 화면에서 Shift+MENU 터치)
2. OP QC Settings 화면의 "Commnunication 탭"의 Page 3으로 이동
3. Send Wifi Chart YES로 설정
4. Chart IP Address 입력(SETTING 화면의 Web service 탭에서 - Address를 입력)
5. Chart Port 입력(SETTING 화면의 Web service 탭에서 - Port를 입력)
6. OP QC Settings 화면의 OK 터치</t>
  </si>
  <si>
    <t>1. OP Basic Operation 화면 진입(OP 홈 화면에서 Basic Operation 터치)
2. OP Basic Operation 화면의 CHART 탭 선택
3. OP Basic Operation 화면의 CHART 탭의 하위의 첫번째 차트아이콘을 터치</t>
  </si>
  <si>
    <t>OP Basic Operation 화면의 우상단 DC 아이콘 정상연결 상태확인(아래의 범례와 같은 상태)
범례
*DC : 파란색으로 표기, 우하단심볼 미표기</t>
  </si>
  <si>
    <t>CHART 탭을 눌러야, OP Basic Operation 화면의 우상단 DC 아이콘가 갱신이 되는 경우가 있음.</t>
  </si>
  <si>
    <t>1. 차트시현 화면(TBD) 진입(HDC Remote Controller의 우측 삼각형방향표지 하단 [RANDOM] 버튼 활용)
2. OP Basic Operation 화면의 CHART 탭의 하위의 두번째 차트아이콘부터 순서대로 터치</t>
  </si>
  <si>
    <t>OP Basic Operation 화면에서 선택한 차트아이콘과 차트시현 화면(TBD)의 디지털 차트와 비교결과, 차트의 이미지가 일치 상태확인</t>
  </si>
  <si>
    <t>차트의 변경을 위해, OP의 차트아이콘 전환 시, 느린 경우가 빈번히 발생함.(TBD)</t>
  </si>
  <si>
    <t>HDC-006</t>
  </si>
  <si>
    <t>DR Connect OFF 확인</t>
  </si>
  <si>
    <t>HDR에서 연결이 되지 않으며 차트 변경이 되지 않음.</t>
  </si>
  <si>
    <t>1. SETTING 화면의 Web service 탭에서 DR connect 항목을 OFF으로 선택</t>
  </si>
  <si>
    <t>SETTING 화면의 Web service 탭에서 "- Address" 항목에 IP Address 값 미시현확인</t>
  </si>
  <si>
    <t>OP Basic Operation 화면의 우상단 DC 아이콘 미연결 상태확인(아래의 범례와 같은 상태)
범례
*DC : 파란색으로 표기, 우하단심볼 X 표기</t>
  </si>
  <si>
    <t>OP Basic Operation 화면에서 선택한 차트아이콘과 차트시현 화면(TBD)의 디지털 차트와 비교결과, 차트의 이미지가 미일치 상태확인</t>
  </si>
  <si>
    <t>HDC-007</t>
  </si>
  <si>
    <t>DR Connect ON 확인(Static)</t>
  </si>
  <si>
    <t>1. AP 연결 후 (HDC-001), HDC-004에서 Static으로 설정 후 
Web service 탭에서 DR connect ON 클릭
2. HDR과 Wi-Fi 연결 후 HDR에서 차트 동작을 진행해본다.</t>
  </si>
  <si>
    <t>1. SETTING 화면 진입(HDC Remote Controller의 MENU 버튼과, 삼각형방향표지 버튼 활용) 
2. SETTING 화면의 TCP/IP 탭에서 Static 선택
3. SETTING 화면의 탭 나가기(HDC Remote Controller의 우측 삼각형방향표지 하단 [RANDOM] 버튼 활용)
4. SETTING 화면의 Web Service 탭으로 이동(HDC Remote Controller의 삼각형방향표지 버튼 활용)</t>
  </si>
  <si>
    <t>날짜</t>
  </si>
  <si>
    <t>기대결과</t>
  </si>
  <si>
    <t>문제점</t>
  </si>
  <si>
    <t>문제점 절차</t>
  </si>
  <si>
    <t>첨부파일(사진)</t>
  </si>
  <si>
    <t>측정 Data 전송</t>
  </si>
  <si>
    <t>Data 전송이 잘 되어야 함</t>
  </si>
  <si>
    <t>-. HIIS 데이터 전송 값 삭제가 안됨</t>
  </si>
  <si>
    <t>-. HRK-&gt;HIIS-&gt;Refraction 데이터 삭제 안됨 (검토)</t>
  </si>
  <si>
    <t>-. AP 재부팅 시 재 연결 안됨</t>
  </si>
  <si>
    <t>-. AP 재부팅 시, HDR에서 HRK와 자동 연결이 안되고, HRK에서 재시도를 하면 연결됨</t>
  </si>
  <si>
    <t>-. 양산버전이 재부팅 시 연결안됨</t>
  </si>
  <si>
    <t>-. 제품 1분정도 OFF 후 재부팅 시 연결X
(양산품, CCD 변경품으로 테스트) - 제품별 연결성 차이 검토</t>
  </si>
  <si>
    <t>1. 사용자 설정에서 WIFI - BAND를 2.4GHz / 5GHz 선택한다. 
2. AP SSID 스캔을 위해 SCAN버튼을 touch한다. 
3. AP List 모달(팝업)에서 사용할 AP를 터치.
4. AP 의 ID/Password 를 입력하고, Verify 버튼을 touch한다.
5. 인증 확인 메시지를 확인한다. 
- 성공시: AP Password is okay! 
- 실패시: Error code 확인</t>
  </si>
  <si>
    <t>1. AP List 모달(팝업)에서 사용할 AP를 터치.</t>
  </si>
  <si>
    <t>AP List에 SETUP 화면에 RSSI 신호강도가 강한 순에서 작은 순으로 SSID가 배치확인</t>
    <phoneticPr fontId="1" type="noConversion"/>
  </si>
  <si>
    <t>HDC-9100</t>
    <phoneticPr fontId="1" type="noConversion"/>
  </si>
  <si>
    <t>PP #1(관리번호 L-062)</t>
    <phoneticPr fontId="1" type="noConversion"/>
  </si>
  <si>
    <t>1.0.5(TBD)</t>
    <phoneticPr fontId="1" type="noConversion"/>
  </si>
  <si>
    <t>Channel Bandwidth 설정</t>
    <phoneticPr fontId="1" type="noConversion"/>
  </si>
  <si>
    <t>Wi-Fi Band 분리설정</t>
  </si>
  <si>
    <t>Wi-Fi Security</t>
  </si>
  <si>
    <t>Wi-Fi 규격 ( Mode ) 설정</t>
    <phoneticPr fontId="1" type="noConversion"/>
  </si>
  <si>
    <t>Wi-Fi NIC용 RS9116 어떤 제품군에서 내장되어 있는지?
Huvitz 제품군 Wi-Fi NIC? 제품 호환 Router?</t>
    <phoneticPr fontId="1" type="noConversion"/>
  </si>
  <si>
    <t>Wireless Mode</t>
    <phoneticPr fontId="1" type="noConversion"/>
  </si>
  <si>
    <t xml:space="preserve">Study &amp; TBD </t>
  </si>
  <si>
    <t>TBD
2.4GHz : xxxxx  (_2_4G 접미사 붙이면 명시적)
5GHz : xxxxx_5G</t>
  </si>
  <si>
    <t>TBD
2.4GHz : 1, 6 , 11 을 실무적으로 추천
5GHz : 36, 40, 44, 48 채널고정 (DFS 채널 회피)</t>
  </si>
  <si>
    <t xml:space="preserve">20MHz: 좁지만 안정적, 호환성 좋음
40MHz / 80MHz / 160MHz: 빠르지만 호환성 떨어질
TBD
20MHz 사용필요, RS9116 지원 Channel Bandwidth. </t>
  </si>
  <si>
    <t>WPA2-Personal
AES</t>
    <phoneticPr fontId="1" type="noConversion"/>
  </si>
  <si>
    <t>http://{router_ip}
http://192.168.0.1
또는
http://192.168.1.1
공유기 하단 라벨 참고
Smart Connect / Band Steering</t>
    <phoneticPr fontId="1" type="noConversion"/>
  </si>
  <si>
    <t>Actual Applied</t>
    <phoneticPr fontId="1" type="noConversion"/>
  </si>
  <si>
    <t>Wireless / Channel</t>
    <phoneticPr fontId="1" type="noConversion"/>
  </si>
  <si>
    <t>2.4GHz Channel → 1 / 6 / 11
5GHz Channel → 36 / 40 / 44 / 48</t>
    <phoneticPr fontId="1" type="noConversion"/>
  </si>
  <si>
    <t xml:space="preserve">Channel Width / Bandwidth </t>
    <phoneticPr fontId="1" type="noConversion"/>
  </si>
  <si>
    <t xml:space="preserve">
802.11 b/g/n mixed
또는
802.11 a/b/g/n mixed</t>
    <phoneticPr fontId="1" type="noConversion"/>
  </si>
  <si>
    <t xml:space="preserve">
20MHz</t>
    <phoneticPr fontId="1" type="noConversion"/>
  </si>
  <si>
    <t>OFF or SSID 분리표기확인</t>
    <phoneticPr fontId="1" type="noConversion"/>
  </si>
  <si>
    <t>Remark &amp; Questions</t>
    <phoneticPr fontId="1" type="noConversion"/>
  </si>
  <si>
    <t>Actual Steps to Apply</t>
    <phoneticPr fontId="1" type="noConversion"/>
  </si>
  <si>
    <t>Examples to Avoid</t>
    <phoneticPr fontId="1" type="noConversion"/>
  </si>
  <si>
    <t>Channel: Auto</t>
    <phoneticPr fontId="1" type="noConversion"/>
  </si>
  <si>
    <t xml:space="preserve">
Bandwidth: Auto</t>
    <phoneticPr fontId="1" type="noConversion"/>
  </si>
  <si>
    <t>Smart Connect: Off</t>
    <phoneticPr fontId="1" type="noConversion"/>
  </si>
  <si>
    <t xml:space="preserve">Wi-Fi smart functions ( 편의기능 ) </t>
    <phoneticPr fontId="1" type="noConversion"/>
  </si>
  <si>
    <t>Router WiFi 체크리스트</t>
    <phoneticPr fontId="1" type="noConversion"/>
  </si>
  <si>
    <t xml:space="preserve">테스트대상 구성 : 
- HTR 1대
테스트환경 구성 : 
- AP(2.4GHz) 1대
</t>
    <phoneticPr fontId="1" type="noConversion"/>
  </si>
  <si>
    <t>테스트대상 구성 : 
- HTR 1대
테스트환경 구성 : 
- AP(2.4GHz) 1대
- HDR-9000 1대</t>
    <phoneticPr fontId="1" type="noConversion"/>
  </si>
  <si>
    <t>테스트대상 구성 : 
- HLM 1대
테스트환경 구성 : 
- AP(2.4GHz) 1대</t>
  </si>
  <si>
    <t>테스트대상 구성 : 
- HLM 1대
테스트환경 구성 : 
- AP(2.4GHz) 1대
- HDR-9000 1대</t>
  </si>
  <si>
    <t>802.11b/g/n =  Wi-Fi 4 구형 호환 좋음
802.11ac = Wi-Fi 5
802.11ax = Wi-Fi 6
802.11be = Wi-Fi 7
TBD
802.11 b/g/n mixed
또는
802.11 a/b/g/n mixed</t>
    <phoneticPr fontId="1" type="noConversion"/>
  </si>
  <si>
    <t>Mode: Auto
802.11ax only
WiFi 6 only
WiFi 6 mixed with WPA3</t>
    <phoneticPr fontId="1" type="noConversion"/>
  </si>
  <si>
    <t xml:space="preserve">
TBD
WPA2
WPA2-Personal
Encryption: AES</t>
    <phoneticPr fontId="1" type="noConversion"/>
  </si>
  <si>
    <t>WPA3
WPA2/WPA3 mixed
TKIP
Enterprise</t>
    <phoneticPr fontId="1" type="noConversion"/>
  </si>
  <si>
    <t>Wi-Fi Channel 설정</t>
    <phoneticPr fontId="1" type="noConversion"/>
  </si>
  <si>
    <t>테스트대상 구성 (장비 대수, Serial Number, S/W Version): 
- HRK-9000A (1대, 9HA09A24I0014, 1.01.01A)
테스트환경 구성 : 
- AP(2.4GHz Band) 1대</t>
    <phoneticPr fontId="1" type="noConversion"/>
  </si>
  <si>
    <t>MERCUSYS</t>
    <phoneticPr fontId="1" type="noConversion"/>
  </si>
  <si>
    <t>2232318003141</t>
    <phoneticPr fontId="1" type="noConversion"/>
  </si>
  <si>
    <t>제조사</t>
    <phoneticPr fontId="1" type="noConversion"/>
  </si>
  <si>
    <t>MR30G</t>
    <phoneticPr fontId="1" type="noConversion"/>
  </si>
  <si>
    <t>Huvitz</t>
    <phoneticPr fontId="1" type="noConversion"/>
  </si>
  <si>
    <t>Actual Result</t>
  </si>
  <si>
    <t>Test Config</t>
    <phoneticPr fontId="1" type="noConversion"/>
  </si>
  <si>
    <t>Actual Result</t>
    <phoneticPr fontId="1" type="noConversion"/>
  </si>
  <si>
    <t>Test Config ID</t>
    <phoneticPr fontId="1" type="noConversion"/>
  </si>
  <si>
    <t>Lens</t>
    <phoneticPr fontId="1" type="noConversion"/>
  </si>
  <si>
    <t>모델아이</t>
    <phoneticPr fontId="1" type="noConversion"/>
  </si>
  <si>
    <t>Junction Box Power Cable</t>
  </si>
  <si>
    <t xml:space="preserve">HDC Power Cable </t>
  </si>
  <si>
    <t>HLM Power Cable : L-form Power Cable</t>
  </si>
  <si>
    <t>OP Signal and Power Cable</t>
  </si>
  <si>
    <t>HDR Signal and Power Cable</t>
  </si>
  <si>
    <t>Examples to Avoid in STR</t>
    <phoneticPr fontId="1" type="noConversion"/>
  </si>
  <si>
    <t>Test Procedure</t>
  </si>
  <si>
    <t>Test Senario ID</t>
    <phoneticPr fontId="1" type="noConversion"/>
  </si>
  <si>
    <t>"REF/KER 측정 MODE 화면" 좌측상단 차트번호와 OP Basic Operation 화면 좌측상단 LOAD DATA의 차트번호 비교결과, 측정화면 차트번호가 1이 더 큰지 확인
TBD
- HDR( Server )에서 데이터를 수신 확인한다. 
(OP 어디에서 수신이미지 확인하기 위한 위치 공유요청)
TBD
- Patient ID가 동일한 마이봄샘 이미지가 저장되어 있었다면, 덮어씀
(덮어쓰는 이미지 전 후 비교방법 공유요청) 
TBD
- 같은 환자번호에서, 여러 번 보냈을때 이미지가 덮어쓰여지는지 확인 필요.
(같은 환자번호에서, 여러 번 보내는 방법 공유요청)</t>
    <phoneticPr fontId="1" type="noConversion"/>
  </si>
  <si>
    <t>"REF/KER 측정 MODE 화면" 좌측상단 차트번호와 OP Basic Operation 화면 좌측상단 LOAD DATA의 차트번호 비교결과, 측정화면 차트번호가 1이 더 큰지 확인
TBD
- HDR( Server )에서 데이터를 수신 확인한다. 
(OP 어디에서 수신이미지 확인하기 위한 위치 공유요청)
TBD
- Patient ID가 동일한 마이봄샘 이미지가 저장되어 있었다면, 덮어씀
(덮어쓰는 이미지 전 후 비교방법 공유요청) 
TBD
- 같은 환자번호에서, 여러 번 보냈을때 이미지가 덮어쓰여지는지 확인 필요.
(같은 환자번호에서, 여러 번 보내는 방법 공유요청)</t>
    <phoneticPr fontId="1" type="noConversion"/>
  </si>
  <si>
    <t>1. AP 연결 후 (HDC-001), Web service 탭에서 DR connect OFF 클릭
2. HDR과 Wi-Fi 연결 후 HDR에서 차트 동작을 진행해본다.</t>
    <phoneticPr fontId="1" type="noConversion"/>
  </si>
  <si>
    <t>Test Case ID</t>
    <phoneticPr fontId="1" type="noConversion"/>
  </si>
  <si>
    <t>TC-HDC-001</t>
  </si>
  <si>
    <t>TC-HDC-002</t>
  </si>
  <si>
    <t>- HDR-9000 1대
테스트환경 구성 : 
- AP(2.4GHz) 1대</t>
    <phoneticPr fontId="1" type="noConversion"/>
  </si>
  <si>
    <t>TC-HDR-005</t>
  </si>
  <si>
    <t>TC-HDC-007</t>
  </si>
  <si>
    <t>TC-HDC-003</t>
  </si>
  <si>
    <t>TC-HDC-004</t>
  </si>
  <si>
    <t>TC-HDC-005</t>
  </si>
  <si>
    <t>TC-HDC-006</t>
  </si>
  <si>
    <t>TC-HDR-001</t>
  </si>
  <si>
    <t>TC-HDR-002</t>
  </si>
  <si>
    <t>TC-HLM-001</t>
  </si>
  <si>
    <t>"REF/KER 측정 MODE 화면" 좌측상단 차트번호와 OP Basic Operation 화면 좌측상단 LOAD DATA의 차트번호 비교결과, 측정화면 차트번호가 1이 더 큰지 확인
TBD
- 1대 이상 연결된 경우, 모두 연결된 상태확인 
- 여러대 중 1~2대 연결이 끊어진 상태확인 (전송모드가 자동이어도, HDR network connect 팝업창이 떠야 정상)</t>
    <phoneticPr fontId="1" type="noConversion"/>
  </si>
  <si>
    <t>문제점 관리</t>
    <phoneticPr fontId="1" type="noConversion"/>
  </si>
  <si>
    <t>구분</t>
    <phoneticPr fontId="1" type="noConversion"/>
  </si>
  <si>
    <t>HRK-001</t>
    <phoneticPr fontId="1" type="noConversion"/>
  </si>
  <si>
    <t>SETUP MODE 화면 진입 위해 "홈 화면 우측 하단 톱니바퀴 아이콘 터치" 시 간헐적 미인식</t>
    <phoneticPr fontId="1" type="noConversion"/>
  </si>
  <si>
    <t>특이사항</t>
    <phoneticPr fontId="1" type="noConversion"/>
  </si>
  <si>
    <t>TC-HLM-002</t>
  </si>
  <si>
    <t>TC-HLM-003</t>
  </si>
  <si>
    <t>TC-HLM-004</t>
  </si>
  <si>
    <t>TC-HLM-005</t>
  </si>
  <si>
    <t>TC-HLM-006</t>
  </si>
  <si>
    <t>TC-HTR-002</t>
  </si>
  <si>
    <t>TC-HTR-003</t>
  </si>
  <si>
    <t>TC-HTR-004</t>
  </si>
  <si>
    <t>TC-HTR-005</t>
  </si>
  <si>
    <t>TC-HTR-006</t>
  </si>
  <si>
    <t>TC-HTR-007</t>
  </si>
  <si>
    <t>TC-HTR-008</t>
  </si>
  <si>
    <t>TC-HTR-009</t>
  </si>
  <si>
    <t>TC-HTR-010</t>
  </si>
  <si>
    <t>TC-HTR-011</t>
  </si>
  <si>
    <t>TC-HTR-001</t>
    <phoneticPr fontId="1" type="noConversion"/>
  </si>
  <si>
    <t>TC-HDR-003</t>
  </si>
  <si>
    <t>TC-HDR-004</t>
  </si>
  <si>
    <t>TC-HDR-006</t>
  </si>
  <si>
    <t>TC-</t>
  </si>
  <si>
    <t>TC-HDR-007</t>
  </si>
  <si>
    <t>TC-HDR-008</t>
  </si>
  <si>
    <t>TC-HDR-009</t>
  </si>
  <si>
    <t>2.4GHz : xxxxx  (_2_4G 접미사 붙이면 명시적)
5GHz : xxxxx_5G</t>
    <phoneticPr fontId="1" type="noConversion"/>
  </si>
  <si>
    <t xml:space="preserve">TBD : 설정 및 설정완료확인방법(Channel Bandwidth)
20MHz </t>
    <phoneticPr fontId="1" type="noConversion"/>
  </si>
  <si>
    <t>TBD : 설정 및 설정완료확인방법(Wi-Fi Channel)
2.4GHz : 1, 6 , 11 을 실무적으로 추천
5GHz : 36, 40, 44, 48 채널고정 (DFS 채널 회피)</t>
    <phoneticPr fontId="1" type="noConversion"/>
  </si>
  <si>
    <t xml:space="preserve">
TBD : 설정 및 설정완료확인방법(Wifi Security)
WPA2
WPA2-Personal
Encryption: AES</t>
    <phoneticPr fontId="1" type="noConversion"/>
  </si>
  <si>
    <t xml:space="preserve">
TBD : 설정 및 설정완료확인방법(Wi-Fi Wireless Mode)
802.11 a/b/g/n mixed</t>
    <phoneticPr fontId="1" type="noConversion"/>
  </si>
  <si>
    <t xml:space="preserve">20MHz: 좁지만 안정적, 호환성 좋음
40MHz / 80MHz / 160MHz: 빠르지만 호환성 떨어질
TBD
20MHz 사용필요, RS9116 지원 Channel Bandwidth.
RS9116 내장 Huvitz 제품군 고려필요?
RS9116 내장 Huvitz 제품과 Router 호환성 고려필요? </t>
    <phoneticPr fontId="1" type="noConversion"/>
  </si>
  <si>
    <t>Study &amp; Questions</t>
    <phoneticPr fontId="1" type="noConversion"/>
  </si>
  <si>
    <t>TBD : 설정 및 설정완료확인방법(Wi-Fi Band에 대한 SSID 분리)
2.4GHz : xxxxx  
5GHz : xxxxx_5G</t>
    <phoneticPr fontId="1" type="noConversion"/>
  </si>
  <si>
    <t>HTR 상세모델명(TBD)</t>
    <phoneticPr fontId="1" type="noConversion"/>
  </si>
  <si>
    <t>TC-HRK-001-WIFI-001</t>
    <phoneticPr fontId="1" type="noConversion"/>
  </si>
  <si>
    <t>TC-HRK-002-WIFI-001</t>
    <phoneticPr fontId="1" type="noConversion"/>
  </si>
  <si>
    <t>TC-HRK-003-WIFI-001</t>
    <phoneticPr fontId="1" type="noConversion"/>
  </si>
  <si>
    <t>TC-HRK-004-WIFI-001</t>
    <phoneticPr fontId="1" type="noConversion"/>
  </si>
  <si>
    <t>TC-HRK-005-WIFI-001</t>
    <phoneticPr fontId="1" type="noConversion"/>
  </si>
  <si>
    <t>TC-HRK-006-WIFI-001</t>
    <phoneticPr fontId="1" type="noConversion"/>
  </si>
  <si>
    <t>TC-HRK-007-WIFI-001</t>
    <phoneticPr fontId="1" type="noConversion"/>
  </si>
  <si>
    <t>TC-HRK-008-WIFI-001</t>
    <phoneticPr fontId="1" type="noConversion"/>
  </si>
  <si>
    <t>TC-HRK-009-WIFI-001</t>
    <phoneticPr fontId="1" type="noConversion"/>
  </si>
  <si>
    <t>TC-HRK-010-WIFI-001</t>
    <phoneticPr fontId="1" type="noConversion"/>
  </si>
  <si>
    <t>TC-HRK-011-WIFI-001</t>
    <phoneticPr fontId="1" type="noConversion"/>
  </si>
  <si>
    <t>Upstream Release ID</t>
    <phoneticPr fontId="1" type="noConversion"/>
  </si>
  <si>
    <t>테스트대상 구성 (장비 대수, S/W Version): 
- HRK-9000A (1대, 1.01.01A)
테스트환경 구성 : 
- AP(2.4GHz Band) 1대</t>
  </si>
  <si>
    <t>테스트대상 구성 (장비 대수, S/W Version): 
- HRK-9000A (1대, 1.01.01A)
테스트환경 구성 : 
- AP(2.4GHz Band) 1대
- HDR-9000 1대</t>
  </si>
  <si>
    <t>TC_CONFIG-HRK-001-WIFI-001-2_4GHz</t>
    <phoneticPr fontId="1" type="noConversion"/>
  </si>
  <si>
    <t>TB-Link_35E8</t>
    <phoneticPr fontId="1" type="noConversion"/>
  </si>
  <si>
    <t>TB-Link_35E8_5G</t>
    <phoneticPr fontId="1" type="noConversion"/>
  </si>
  <si>
    <t>12V, 1A</t>
    <phoneticPr fontId="1" type="noConversion"/>
  </si>
  <si>
    <t>미국 현지 네트워크 환경 모의</t>
    <phoneticPr fontId="1" type="noConversion"/>
  </si>
  <si>
    <t>Y258005000560</t>
    <phoneticPr fontId="1" type="noConversion"/>
  </si>
  <si>
    <t>Archer AX10</t>
    <phoneticPr fontId="1" type="noConversion"/>
  </si>
  <si>
    <t>AX1500 Wi-Fi 6 Router</t>
    <phoneticPr fontId="1" type="noConversion"/>
  </si>
  <si>
    <t>TP-link</t>
    <phoneticPr fontId="1" type="noConversion"/>
  </si>
  <si>
    <t>JOIN PRESET Wi-Fi  QR CODE
Default Setup Link : http://tplinkwifi.net</t>
    <phoneticPr fontId="1" type="noConversion"/>
  </si>
  <si>
    <t>TB-Link_A2B2</t>
    <phoneticPr fontId="1" type="noConversion"/>
  </si>
  <si>
    <t>TB-Link_A2B2_5G</t>
    <phoneticPr fontId="1" type="noConversion"/>
  </si>
  <si>
    <t>12V, 1.5A</t>
    <phoneticPr fontId="1" type="noConversion"/>
  </si>
  <si>
    <t>Y233061F00520</t>
    <phoneticPr fontId="1" type="noConversion"/>
  </si>
  <si>
    <t>Archer AX1800(USW) Ver:4.6</t>
    <phoneticPr fontId="1" type="noConversion"/>
  </si>
  <si>
    <t>AX1800 Gigabit Wi-Fi 6 Router</t>
    <phoneticPr fontId="1" type="noConversion"/>
  </si>
  <si>
    <t>Tenda_EFFAA0</t>
  </si>
  <si>
    <t>ED681011551001002  V1.0</t>
    <phoneticPr fontId="1" type="noConversion"/>
  </si>
  <si>
    <t>RX2 Pro</t>
    <phoneticPr fontId="1" type="noConversion"/>
  </si>
  <si>
    <t>Dual-Band Gigabit Wi-Fi 6 Router</t>
    <phoneticPr fontId="1" type="noConversion"/>
  </si>
  <si>
    <t>Tenda</t>
    <phoneticPr fontId="1" type="noConversion"/>
  </si>
  <si>
    <t>fuzzyphoenix865</t>
    <phoneticPr fontId="1" type="noConversion"/>
  </si>
  <si>
    <t>NETGEAR56</t>
  </si>
  <si>
    <t>64E226B3A225B</t>
    <phoneticPr fontId="1" type="noConversion"/>
  </si>
  <si>
    <t>R6120</t>
    <phoneticPr fontId="1" type="noConversion"/>
  </si>
  <si>
    <t>AC1200 WiFi Router</t>
    <phoneticPr fontId="1" type="noConversion"/>
  </si>
  <si>
    <t>NETGEAR</t>
    <phoneticPr fontId="1" type="noConversion"/>
  </si>
  <si>
    <t>basicbird145</t>
    <phoneticPr fontId="1" type="noConversion"/>
  </si>
  <si>
    <t>NETGEAR11</t>
  </si>
  <si>
    <t>19V, 3.16A</t>
    <phoneticPr fontId="1" type="noConversion"/>
  </si>
  <si>
    <t>6TA53B7HD00EE</t>
    <phoneticPr fontId="1" type="noConversion"/>
  </si>
  <si>
    <t>RAXE500</t>
    <phoneticPr fontId="1" type="noConversion"/>
  </si>
  <si>
    <t>Nighthawk AXE11000 Tri-Band WiFi 6E Router</t>
    <phoneticPr fontId="1" type="noConversion"/>
  </si>
  <si>
    <t>Quick Wi-Fi Connect QR Code</t>
    <phoneticPr fontId="1" type="noConversion"/>
  </si>
  <si>
    <t>ASUS_F6</t>
  </si>
  <si>
    <t>W1IG758026888HD</t>
    <phoneticPr fontId="1" type="noConversion"/>
  </si>
  <si>
    <t xml:space="preserve">RT-AX1800S V2 </t>
    <phoneticPr fontId="1" type="noConversion"/>
  </si>
  <si>
    <t>Wireless Dual Band WiFi 6 Router</t>
    <phoneticPr fontId="1" type="noConversion"/>
  </si>
  <si>
    <t>ASUS</t>
    <phoneticPr fontId="1" type="noConversion"/>
  </si>
  <si>
    <t>First Connection Tested</t>
    <phoneticPr fontId="1" type="noConversion"/>
  </si>
  <si>
    <t>Sticker Labeled</t>
    <phoneticPr fontId="1" type="noConversion"/>
  </si>
  <si>
    <t>Installed Date</t>
    <phoneticPr fontId="1" type="noConversion"/>
  </si>
  <si>
    <t>Installed Location(Last Location)</t>
    <phoneticPr fontId="1" type="noConversion"/>
  </si>
  <si>
    <t>Default Password</t>
    <phoneticPr fontId="1" type="noConversion"/>
  </si>
  <si>
    <t>Default SSID(2.4GHz)</t>
    <phoneticPr fontId="1" type="noConversion"/>
  </si>
  <si>
    <t>Default SSID(5GHz)</t>
    <phoneticPr fontId="1" type="noConversion"/>
  </si>
  <si>
    <t>Input</t>
    <phoneticPr fontId="1" type="noConversion"/>
  </si>
  <si>
    <t>Purpose of Use</t>
    <phoneticPr fontId="1" type="noConversion"/>
  </si>
  <si>
    <t>S/W Version</t>
    <phoneticPr fontId="1" type="noConversion"/>
  </si>
  <si>
    <t>Firmware version</t>
    <phoneticPr fontId="1" type="noConversion"/>
  </si>
  <si>
    <t>HTR-…(TBD)</t>
    <phoneticPr fontId="1" type="noConversion"/>
  </si>
  <si>
    <t>TBD : HTR의 모델명 정보 확인방법</t>
    <phoneticPr fontId="1" type="noConversion"/>
  </si>
  <si>
    <t>시험용 Router</t>
    <phoneticPr fontId="1" type="noConversion"/>
  </si>
  <si>
    <t>HRK-012</t>
  </si>
  <si>
    <t>시나리오 &amp; TC 정합성 협의사항(특이사항)</t>
    <phoneticPr fontId="1" type="noConversion"/>
  </si>
  <si>
    <t>TBD
2.4GHz : 1, 6 , 11 을 실무적으로 추천
5GHz : 36, 40, 44, 48 채널고정 (DFS 채널 회피)</t>
    <phoneticPr fontId="1" type="noConversion"/>
  </si>
  <si>
    <t>제품별칭</t>
  </si>
  <si>
    <t>모델명</t>
  </si>
  <si>
    <t>불필요</t>
    <phoneticPr fontId="1" type="noConversion"/>
  </si>
  <si>
    <t>눈 검사 모의용 장치</t>
    <phoneticPr fontId="1" type="noConversion"/>
  </si>
  <si>
    <t>렌즈 측정 모의용 장치</t>
    <phoneticPr fontId="1" type="noConversion"/>
  </si>
  <si>
    <t>HDC 전원 공급용 케이블</t>
    <phoneticPr fontId="1" type="noConversion"/>
  </si>
  <si>
    <t>HDR 전원 및 신호 공급용 케이블</t>
    <phoneticPr fontId="1" type="noConversion"/>
  </si>
  <si>
    <t>HLM 전원 공급용 케이블</t>
    <phoneticPr fontId="1" type="noConversion"/>
  </si>
  <si>
    <t>HDR 전원 공급용 케이블</t>
    <phoneticPr fontId="1" type="noConversion"/>
  </si>
  <si>
    <t xml:space="preserve">Lens TBD(x mm), </t>
    <phoneticPr fontId="1" type="noConversion"/>
  </si>
  <si>
    <t>일련번호</t>
  </si>
  <si>
    <t>모델아이 TBD</t>
    <phoneticPr fontId="1" type="noConversion"/>
  </si>
  <si>
    <t>-</t>
    <phoneticPr fontId="1" type="noConversion"/>
  </si>
  <si>
    <t>TBD : 장비 모델명</t>
    <phoneticPr fontId="1" type="noConversion"/>
  </si>
  <si>
    <t>Smart Connect: Off
or
Band Steering: Off
SSID 분리표기확인
2.4GHz : xxxxx  
5GHz : xxxxx_5G</t>
    <phoneticPr fontId="1" type="noConversion"/>
  </si>
  <si>
    <t>Smart Connect: On가 아님
or
Band Steering: On가 아님</t>
    <phoneticPr fontId="1" type="noConversion"/>
  </si>
  <si>
    <t>Channel: Auto가 아님</t>
    <phoneticPr fontId="1" type="noConversion"/>
  </si>
  <si>
    <t xml:space="preserve">
Bandwidth: Auto가 아님</t>
    <phoneticPr fontId="1" type="noConversion"/>
  </si>
  <si>
    <t>Mode: Auto가 아님
802.11ax only가 아님
WiFi 6 only가 아님
WiFi 6 mixed with WPA3가 아님</t>
    <phoneticPr fontId="1" type="noConversion"/>
  </si>
  <si>
    <t>WPA3가 아님
WPA2/WPA3 mixed가 아님
TKIP가 아님
Enterprise가 아님</t>
    <phoneticPr fontId="1" type="noConversion"/>
  </si>
  <si>
    <t>/6th/Connectivity Room/4th_rack_black/TODO</t>
  </si>
  <si>
    <t>TODO</t>
  </si>
  <si>
    <t>모델명( "_" + sub_component)</t>
    <phoneticPr fontId="1" type="noConversion"/>
  </si>
  <si>
    <t>TODO</t>
    <phoneticPr fontId="1" type="noConversion"/>
  </si>
  <si>
    <t>테스트대상 구성 (장비 대수, S/W Version): 
- HRK-9000A (1대, 1.01.01A)
테스트환경 구성 : 
- AP(2.4GHz Band) 1대</t>
    <phoneticPr fontId="1" type="noConversion"/>
  </si>
  <si>
    <t>Defects ID</t>
    <phoneticPr fontId="1" type="noConversion"/>
  </si>
  <si>
    <t>Validation ID</t>
    <phoneticPr fontId="1" type="noConversion"/>
  </si>
  <si>
    <t>Test Release Date</t>
    <phoneticPr fontId="1" type="noConversion"/>
  </si>
  <si>
    <t>대상 일련번호</t>
    <phoneticPr fontId="1" type="noConversion"/>
  </si>
  <si>
    <t>TEST_RELEASE_ID-</t>
    <phoneticPr fontId="1" type="noConversion"/>
  </si>
  <si>
    <t>TBD(To Be Determind, 협의사항)</t>
  </si>
  <si>
    <t>Test Run IDs</t>
    <phoneticPr fontId="1" type="noConversion"/>
  </si>
  <si>
    <t>TC IDs</t>
    <phoneticPr fontId="1" type="noConversion"/>
  </si>
  <si>
    <t>Test Procedure</t>
    <phoneticPr fontId="1" type="noConversion"/>
  </si>
  <si>
    <t>Test Config Procedure Actual Result(재현 판단 기준)</t>
    <phoneticPr fontId="1" type="noConversion"/>
  </si>
  <si>
    <t xml:space="preserve">Test Config Procedure </t>
    <phoneticPr fontId="1" type="noConversion"/>
  </si>
  <si>
    <t>Test Procedure Actual Result(재현 판단 기준)</t>
    <phoneticPr fontId="1" type="noConversion"/>
  </si>
  <si>
    <t>Test Release ID(PK)</t>
    <phoneticPr fontId="1" type="noConversion"/>
  </si>
  <si>
    <t>Test Run ID(PK)</t>
    <phoneticPr fontId="1" type="noConversion"/>
  </si>
  <si>
    <t>Test Config ID</t>
  </si>
  <si>
    <t>Test Case ID(PK)</t>
    <phoneticPr fontId="1" type="noConversion"/>
  </si>
  <si>
    <t>Test Case IDs</t>
    <phoneticPr fontId="1" type="noConversion"/>
  </si>
  <si>
    <t>1. http://{router_ip}
http://192.168.0.1
또는
http://192.168.1.1
공유기 하단 라벨 참고
2. SSID 설정</t>
    <phoneticPr fontId="1" type="noConversion"/>
  </si>
  <si>
    <t>CONFIG_ID</t>
    <phoneticPr fontId="1" type="noConversion"/>
  </si>
  <si>
    <t>설정명</t>
    <phoneticPr fontId="1" type="noConversion"/>
  </si>
  <si>
    <t>시험환경별칭</t>
  </si>
  <si>
    <t>시험대상</t>
  </si>
  <si>
    <t>시험환경</t>
  </si>
  <si>
    <t>시험조건</t>
  </si>
  <si>
    <t>TBD(To Be Determind, 협의사항)</t>
    <phoneticPr fontId="1" type="noConversion"/>
  </si>
  <si>
    <t>결정사항</t>
  </si>
  <si>
    <t>테스트대상 구성 (장비 대수, S/W Version): 
- HRK-9000A (1대, 1.01.01A)
테스트환경 구성 : 
- AP(2.4GHz Band) 1대
- HDR-9000 1대</t>
    <phoneticPr fontId="1" type="noConversion"/>
  </si>
  <si>
    <t>1.01.01A</t>
    <phoneticPr fontId="1" type="noConversion"/>
  </si>
  <si>
    <t>TEST_RELEASE_ID-HRK-9000A_1.01.01A</t>
    <phoneticPr fontId="1" type="noConversion"/>
  </si>
  <si>
    <t>1. TBD(Wireless / Channel)</t>
    <phoneticPr fontId="1" type="noConversion"/>
  </si>
  <si>
    <t>1. TBD(Channel Width / Bandwidth)</t>
    <phoneticPr fontId="1" type="noConversion"/>
  </si>
  <si>
    <t>1. TBD(Wireless Mode)</t>
    <phoneticPr fontId="1" type="noConversion"/>
  </si>
  <si>
    <t>1. TBD(WPA2-보안)
2. Personal
3. AES</t>
    <phoneticPr fontId="1" type="noConversion"/>
  </si>
  <si>
    <t>Router Test Case Procedure</t>
    <phoneticPr fontId="1" type="noConversion"/>
  </si>
  <si>
    <t>AP 설정 및 구성</t>
    <phoneticPr fontId="1" type="noConversion"/>
  </si>
  <si>
    <t>HRK-002</t>
    <phoneticPr fontId="1" type="noConversion"/>
  </si>
  <si>
    <t>TBD(To Be Determined, 협의사항)</t>
    <phoneticPr fontId="1" type="noConversion"/>
  </si>
  <si>
    <t>Test Report ID</t>
    <phoneticPr fontId="1" type="noConversion"/>
  </si>
  <si>
    <t>Test Release ID</t>
  </si>
  <si>
    <t>Test Run ID</t>
    <phoneticPr fontId="1" type="noConversion"/>
  </si>
  <si>
    <t>Test Target ID</t>
    <phoneticPr fontId="1" type="noConversion"/>
  </si>
  <si>
    <t>Test Target Reference ID</t>
    <phoneticPr fontId="1" type="noConversion"/>
  </si>
  <si>
    <t>TTRID-HRK-9000A</t>
  </si>
  <si>
    <t>TTRID-HLM-9000</t>
  </si>
  <si>
    <t>TTRID-HTR 상세모델명(TBD)</t>
  </si>
  <si>
    <t>TTRID-HDR-9000_OP</t>
  </si>
  <si>
    <t>TTRID-HDR-9000_JUNCTION_BOX</t>
  </si>
  <si>
    <t>TTRID-HDR-9000_?</t>
  </si>
  <si>
    <t>TTRID-HDC-9100</t>
  </si>
  <si>
    <t>Test Environment ID</t>
    <phoneticPr fontId="1" type="noConversion"/>
  </si>
  <si>
    <t>Test Case IDs</t>
  </si>
  <si>
    <t>HRK-9000A</t>
  </si>
  <si>
    <t>HLM-9000</t>
  </si>
  <si>
    <t>HTR 상세모델명(TBD)</t>
  </si>
  <si>
    <t>HDR-9000_OP</t>
  </si>
  <si>
    <t>HDR-9000_JUNCTION_BOX</t>
  </si>
  <si>
    <t>HDR-9000_?</t>
  </si>
  <si>
    <t>HDC-9100</t>
  </si>
  <si>
    <t>시험환경구성절차_재현판단기준</t>
    <phoneticPr fontId="1" type="noConversion"/>
  </si>
  <si>
    <t>AC1200 Wireless Dual Band Gigabit Router</t>
    <phoneticPr fontId="1" type="noConversion"/>
  </si>
  <si>
    <t>대한민국 현지 네트워크 환경 모의</t>
    <phoneticPr fontId="1" type="noConversion"/>
  </si>
  <si>
    <t>/6th/Connectivity Room/3rd_rack_white_1/TODO</t>
    <phoneticPr fontId="1" type="noConversion"/>
  </si>
  <si>
    <t>9V, 0.85A</t>
    <phoneticPr fontId="1" type="noConversion"/>
  </si>
  <si>
    <t>MERCUSYS_BA30_5G</t>
    <phoneticPr fontId="1" type="noConversion"/>
  </si>
  <si>
    <t>MERCUSYS_BA30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</si>
</sst>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3">
    <font>
      <sz val="11"/>
      <color theme="1"/>
      <name val="맑은 고딕"/>
      <family val="2"/>
      <charset val="129"/>
      <scheme val="minor"/>
    </font>
    <font>
      <sz val="8"/>
      <name val="맑은 고딕"/>
      <family val="2"/>
      <charset val="129"/>
      <scheme val="minor"/>
    </font>
    <font>
      <b/>
      <sz val="11"/>
      <color theme="1"/>
      <name val="Malgun Gothic"/>
      <family val="3"/>
      <charset val="129"/>
    </font>
    <font>
      <sz val="11"/>
      <color theme="1"/>
      <name val="Malgun Gothic"/>
      <family val="3"/>
      <charset val="129"/>
    </font>
    <font>
      <b/>
      <sz val="11"/>
      <color rgb="FFFF0000"/>
      <name val="Malgun Gothic"/>
      <family val="3"/>
      <charset val="129"/>
    </font>
    <font>
      <sz val="10"/>
      <color theme="1"/>
      <name val="Arial"/>
      <family val="2"/>
    </font>
    <font>
      <sz val="11"/>
      <color rgb="FFFF0000"/>
      <name val="Malgun Gothic"/>
      <family val="3"/>
      <charset val="129"/>
    </font>
    <font>
      <b/>
      <sz val="11"/>
      <color theme="1"/>
      <name val="맑은 고딕"/>
      <family val="2"/>
      <charset val="129"/>
      <scheme val="minor"/>
    </font>
    <font>
      <sz val="11"/>
      <color theme="0"/>
      <name val="맑은 고딕"/>
      <family val="2"/>
      <charset val="129"/>
      <scheme val="minor"/>
    </font>
    <font>
      <b/>
      <sz val="11"/>
      <color theme="1"/>
      <name val="맑은 고딕"/>
      <family val="3"/>
      <charset val="129"/>
      <scheme val="minor"/>
    </font>
    <font>
      <b/>
      <sz val="11"/>
      <color indexed="8"/>
      <name val="Malgun Gothic"/>
      <family val="3"/>
      <charset val="129"/>
    </font>
    <font>
      <u/>
      <sz val="11"/>
      <color theme="10"/>
      <name val="맑은 고딕"/>
      <family val="2"/>
      <charset val="129"/>
      <scheme val="minor"/>
    </font>
    <font>
      <sz val="10"/>
      <color theme="1"/>
      <name val="맑은 고딕"/>
      <family val="3"/>
      <charset val="129"/>
    </font>
  </fonts>
  <fills count="7">
    <fill>
      <patternFill patternType="none"/>
    </fill>
    <fill>
      <patternFill patternType="gray125"/>
    </fill>
    <fill>
      <patternFill patternType="solid">
        <fgColor rgb="FFD9EAD3"/>
        <bgColor indexed="64"/>
      </patternFill>
    </fill>
    <fill>
      <patternFill patternType="solid">
        <fgColor rgb="FFB7E1CD"/>
        <bgColor indexed="64"/>
      </patternFill>
    </fill>
    <fill>
      <patternFill patternType="solid">
        <fgColor rgb="FFB7B7B7"/>
        <bgColor indexed="64"/>
      </patternFill>
    </fill>
    <fill>
      <patternFill patternType="solid">
        <fgColor theme="4"/>
      </patternFill>
    </fill>
    <fill>
      <patternFill patternType="solid">
        <fgColor theme="9"/>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4">
    <xf numFmtId="0" fontId="0" fillId="0" borderId="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11" fillId="0" borderId="0" applyNumberFormat="0" applyFill="0" applyBorder="0" applyAlignment="0" applyProtection="0">
      <alignment vertical="center"/>
    </xf>
  </cellStyleXfs>
  <cellXfs count="63">
    <xf numFmtId="0" fontId="0" fillId="0" borderId="0" xfId="0">
      <alignment vertical="center"/>
    </xf>
    <xf numFmtId="0" fontId="2"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3" fillId="0" borderId="4" xfId="0" applyFont="1" applyBorder="1" applyAlignment="1">
      <alignment horizontal="center" vertical="center" wrapText="1"/>
    </xf>
    <xf numFmtId="0" fontId="5" fillId="0" borderId="4" xfId="0" applyFont="1" applyBorder="1" applyAlignment="1">
      <alignment wrapText="1"/>
    </xf>
    <xf numFmtId="0" fontId="3" fillId="0" borderId="4" xfId="0" applyFont="1" applyBorder="1" applyAlignment="1">
      <alignment wrapText="1"/>
    </xf>
    <xf numFmtId="0" fontId="6" fillId="0" borderId="4" xfId="0" applyFont="1" applyBorder="1" applyAlignment="1">
      <alignment wrapText="1"/>
    </xf>
    <xf numFmtId="0" fontId="2" fillId="0" borderId="8" xfId="0" applyFont="1" applyBorder="1" applyAlignment="1">
      <alignment vertical="center" wrapText="1"/>
    </xf>
    <xf numFmtId="0" fontId="2" fillId="0" borderId="8" xfId="0" applyFont="1" applyFill="1" applyBorder="1" applyAlignment="1">
      <alignment vertical="center" wrapText="1"/>
    </xf>
    <xf numFmtId="0" fontId="7" fillId="0" borderId="8" xfId="0" applyFont="1" applyBorder="1" applyAlignment="1">
      <alignment vertical="center" wrapText="1"/>
    </xf>
    <xf numFmtId="0" fontId="2" fillId="2" borderId="8" xfId="0" applyFont="1" applyFill="1" applyBorder="1" applyAlignment="1">
      <alignment horizontal="center" vertical="center" wrapText="1"/>
    </xf>
    <xf numFmtId="0" fontId="7" fillId="0" borderId="8" xfId="0" applyFont="1" applyBorder="1" applyAlignment="1">
      <alignment horizontal="center" vertical="center"/>
    </xf>
    <xf numFmtId="0" fontId="9" fillId="0" borderId="8" xfId="0" applyFont="1" applyBorder="1" applyAlignment="1">
      <alignment vertical="center" wrapText="1"/>
    </xf>
    <xf numFmtId="0" fontId="2" fillId="0" borderId="8" xfId="0" applyFont="1" applyBorder="1" applyAlignment="1">
      <alignment horizontal="center" vertical="center" wrapText="1"/>
    </xf>
    <xf numFmtId="0" fontId="7" fillId="0" borderId="8" xfId="0" applyFont="1" applyBorder="1">
      <alignment vertical="center"/>
    </xf>
    <xf numFmtId="0" fontId="8" fillId="5" borderId="8" xfId="1" applyBorder="1">
      <alignment vertical="center"/>
    </xf>
    <xf numFmtId="0" fontId="8" fillId="5" borderId="8" xfId="1" applyBorder="1" applyAlignment="1">
      <alignment horizontal="center" vertical="center" wrapText="1"/>
    </xf>
    <xf numFmtId="0" fontId="8" fillId="5" borderId="2" xfId="1" applyBorder="1" applyAlignment="1">
      <alignment horizontal="center" vertical="center" wrapText="1"/>
    </xf>
    <xf numFmtId="0" fontId="8" fillId="5" borderId="10" xfId="1" applyBorder="1" applyAlignment="1">
      <alignment horizontal="center" vertical="center" wrapText="1"/>
    </xf>
    <xf numFmtId="0" fontId="10" fillId="2" borderId="1" xfId="0" applyFont="1" applyFill="1" applyBorder="1" applyAlignment="1">
      <alignment horizontal="center" vertical="center" wrapText="1"/>
    </xf>
    <xf numFmtId="0" fontId="0" fillId="0" borderId="8" xfId="0" applyFont="1" applyBorder="1" applyAlignment="1">
      <alignment vertical="center"/>
    </xf>
    <xf numFmtId="0" fontId="0" fillId="0" borderId="8" xfId="0" applyFont="1" applyBorder="1">
      <alignment vertical="center"/>
    </xf>
    <xf numFmtId="0" fontId="0" fillId="0" borderId="0" xfId="0" applyFont="1">
      <alignment vertical="center"/>
    </xf>
    <xf numFmtId="0" fontId="0" fillId="0" borderId="8" xfId="0" applyFont="1" applyFill="1" applyBorder="1">
      <alignment vertical="center"/>
    </xf>
    <xf numFmtId="49" fontId="0" fillId="0" borderId="8" xfId="0" applyNumberFormat="1" applyFont="1" applyBorder="1">
      <alignment vertical="center"/>
    </xf>
    <xf numFmtId="0" fontId="2" fillId="4" borderId="8" xfId="0" applyFont="1" applyFill="1" applyBorder="1" applyAlignment="1">
      <alignment horizontal="center" vertical="center" wrapText="1"/>
    </xf>
    <xf numFmtId="176" fontId="3" fillId="0" borderId="8"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5" fillId="0" borderId="8" xfId="0" applyFont="1" applyBorder="1" applyAlignment="1">
      <alignment wrapText="1"/>
    </xf>
    <xf numFmtId="0" fontId="3" fillId="0" borderId="8" xfId="0" applyFont="1" applyFill="1" applyBorder="1" applyAlignment="1">
      <alignment horizontal="center" vertical="center" wrapText="1"/>
    </xf>
    <xf numFmtId="0" fontId="0" fillId="0" borderId="8" xfId="0" applyBorder="1" applyAlignment="1">
      <alignment vertical="center" wrapText="1"/>
    </xf>
    <xf numFmtId="0" fontId="0" fillId="0" borderId="0" xfId="0" applyAlignment="1">
      <alignment vertical="center" wrapText="1"/>
    </xf>
    <xf numFmtId="0" fontId="0" fillId="0" borderId="8" xfId="0" applyBorder="1" applyAlignment="1">
      <alignment horizontal="left" vertical="center"/>
    </xf>
    <xf numFmtId="14" fontId="0" fillId="0" borderId="8" xfId="0" applyNumberFormat="1" applyBorder="1" applyAlignment="1">
      <alignment horizontal="left" vertical="center"/>
    </xf>
    <xf numFmtId="0" fontId="11" fillId="0" borderId="8" xfId="3" applyBorder="1" applyAlignment="1">
      <alignment horizontal="left" vertical="center" wrapText="1"/>
    </xf>
    <xf numFmtId="0" fontId="8" fillId="5" borderId="8" xfId="1" applyBorder="1" applyAlignment="1">
      <alignment horizontal="left" vertical="center"/>
    </xf>
    <xf numFmtId="0" fontId="8" fillId="6" borderId="8" xfId="2" applyBorder="1">
      <alignment vertical="center"/>
    </xf>
    <xf numFmtId="0" fontId="12" fillId="0" borderId="0" xfId="0" applyFont="1">
      <alignment vertical="center"/>
    </xf>
    <xf numFmtId="0" fontId="3" fillId="0" borderId="7"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5" fillId="0" borderId="7" xfId="0" applyFont="1" applyBorder="1" applyAlignment="1">
      <alignment wrapText="1"/>
    </xf>
    <xf numFmtId="0" fontId="5" fillId="0" borderId="6" xfId="0" applyFont="1" applyBorder="1" applyAlignment="1">
      <alignment wrapText="1"/>
    </xf>
    <xf numFmtId="0" fontId="3" fillId="0" borderId="7" xfId="0" quotePrefix="1" applyFont="1" applyBorder="1" applyAlignment="1">
      <alignment vertical="center" wrapText="1"/>
    </xf>
    <xf numFmtId="0" fontId="5" fillId="0" borderId="7"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2" fillId="2" borderId="9" xfId="0" applyFont="1" applyFill="1" applyBorder="1" applyAlignment="1">
      <alignment horizontal="center" vertical="center" wrapText="1"/>
    </xf>
    <xf numFmtId="0" fontId="0" fillId="0" borderId="10" xfId="0" applyFill="1" applyBorder="1" applyAlignment="1">
      <alignment horizontal="left" vertical="center"/>
    </xf>
  </cellXfs>
  <cellStyles count="4">
    <cellStyle name="강조색1" xfId="1" builtinId="29"/>
    <cellStyle name="강조색6" xfId="2" builtinId="49"/>
    <cellStyle name="표준" xfId="0" builtinId="0"/>
    <cellStyle name="하이퍼링크" xfId="3" builtinId="8"/>
  </cellStyles>
  <dxfs count="98">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
      <font>
        <b/>
        <i val="0"/>
        <color rgb="FFFFC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tplinkwifi.ne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tplinkwifi.net/"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6708-9481-4C7A-9D43-FED2BE541669}">
  <dimension ref="A1:D69"/>
  <sheetViews>
    <sheetView zoomScale="73" workbookViewId="0">
      <selection activeCell="C6" sqref="C6:C10"/>
    </sheetView>
  </sheetViews>
  <sheetFormatPr defaultColWidth="53.5" defaultRowHeight="17"/>
  <cols>
    <col min="1" max="1" width="38.25" style="37" customWidth="1"/>
    <col min="2" max="2" width="19.9140625" style="37" bestFit="1" customWidth="1"/>
    <col min="3" max="3" width="21.4140625" style="37" bestFit="1" customWidth="1"/>
    <col min="4" max="4" width="38.25" style="37" bestFit="1" customWidth="1"/>
    <col min="5" max="5" width="53.5" style="37"/>
    <col min="6" max="6" width="80.58203125" style="37" bestFit="1" customWidth="1"/>
    <col min="7" max="16384" width="53.5" style="37"/>
  </cols>
  <sheetData>
    <row r="1" spans="1:4">
      <c r="A1" s="20" t="s">
        <v>580</v>
      </c>
      <c r="B1" s="20" t="s">
        <v>484</v>
      </c>
      <c r="C1" s="20" t="s">
        <v>574</v>
      </c>
      <c r="D1" s="20" t="s">
        <v>584</v>
      </c>
    </row>
    <row r="2" spans="1:4">
      <c r="A2" s="25" t="s">
        <v>572</v>
      </c>
      <c r="B2" s="25"/>
    </row>
    <row r="3" spans="1:4">
      <c r="A3" s="25" t="s">
        <v>572</v>
      </c>
      <c r="B3" s="25"/>
    </row>
    <row r="4" spans="1:4">
      <c r="A4" s="25" t="s">
        <v>572</v>
      </c>
      <c r="B4" s="25"/>
    </row>
    <row r="5" spans="1:4">
      <c r="A5" s="25" t="s">
        <v>572</v>
      </c>
      <c r="B5" s="25"/>
    </row>
    <row r="6" spans="1:4">
      <c r="A6" s="25" t="s">
        <v>572</v>
      </c>
      <c r="B6" s="25"/>
    </row>
    <row r="7" spans="1:4">
      <c r="A7" s="25" t="s">
        <v>572</v>
      </c>
      <c r="B7" s="25"/>
    </row>
    <row r="8" spans="1:4">
      <c r="A8" s="25" t="s">
        <v>572</v>
      </c>
      <c r="B8" s="25"/>
    </row>
    <row r="9" spans="1:4">
      <c r="A9" s="25" t="s">
        <v>572</v>
      </c>
      <c r="B9" s="25"/>
    </row>
    <row r="10" spans="1:4">
      <c r="A10" s="25" t="s">
        <v>572</v>
      </c>
      <c r="B10" s="25"/>
    </row>
    <row r="11" spans="1:4">
      <c r="A11" s="25" t="s">
        <v>572</v>
      </c>
      <c r="B11" s="25"/>
    </row>
    <row r="12" spans="1:4">
      <c r="A12" s="25" t="s">
        <v>572</v>
      </c>
      <c r="B12" s="25"/>
    </row>
    <row r="13" spans="1:4">
      <c r="A13" s="25" t="s">
        <v>572</v>
      </c>
      <c r="B13" s="25"/>
    </row>
    <row r="14" spans="1:4">
      <c r="A14" s="25" t="s">
        <v>572</v>
      </c>
      <c r="B14" s="25"/>
    </row>
    <row r="15" spans="1:4">
      <c r="A15" s="25" t="s">
        <v>572</v>
      </c>
      <c r="B15" s="25"/>
    </row>
    <row r="16" spans="1:4">
      <c r="A16" s="25" t="s">
        <v>572</v>
      </c>
      <c r="B16" s="25"/>
    </row>
    <row r="17" spans="1:3">
      <c r="A17" s="25" t="s">
        <v>572</v>
      </c>
      <c r="B17" s="25"/>
    </row>
    <row r="18" spans="1:3">
      <c r="A18" s="25" t="s">
        <v>572</v>
      </c>
      <c r="B18" s="25"/>
    </row>
    <row r="19" spans="1:3">
      <c r="A19" s="25" t="s">
        <v>572</v>
      </c>
      <c r="B19" s="25"/>
    </row>
    <row r="20" spans="1:3">
      <c r="A20" s="25" t="s">
        <v>572</v>
      </c>
      <c r="B20" s="25"/>
    </row>
    <row r="21" spans="1:3">
      <c r="A21" s="25" t="s">
        <v>572</v>
      </c>
      <c r="B21" s="25"/>
    </row>
    <row r="25" spans="1:3">
      <c r="A25" s="20" t="s">
        <v>581</v>
      </c>
      <c r="B25" s="20" t="s">
        <v>544</v>
      </c>
      <c r="C25" s="20" t="s">
        <v>571</v>
      </c>
    </row>
    <row r="26" spans="1:3">
      <c r="A26" s="25"/>
      <c r="B26" s="26" t="s">
        <v>0</v>
      </c>
      <c r="C26" s="26" t="s">
        <v>1</v>
      </c>
    </row>
    <row r="27" spans="1:3">
      <c r="A27" s="25"/>
      <c r="B27" s="26" t="s">
        <v>3</v>
      </c>
      <c r="C27" s="26" t="s">
        <v>2</v>
      </c>
    </row>
    <row r="28" spans="1:3">
      <c r="A28" s="25"/>
      <c r="B28" s="26" t="s">
        <v>472</v>
      </c>
      <c r="C28" s="26" t="s">
        <v>8</v>
      </c>
    </row>
    <row r="29" spans="1:3">
      <c r="A29" s="25"/>
      <c r="B29" s="26" t="s">
        <v>4</v>
      </c>
      <c r="C29" s="26" t="s">
        <v>8</v>
      </c>
    </row>
    <row r="30" spans="1:3">
      <c r="A30" s="25"/>
      <c r="B30" s="26" t="s">
        <v>5</v>
      </c>
      <c r="C30" s="26" t="s">
        <v>8</v>
      </c>
    </row>
    <row r="31" spans="1:3">
      <c r="A31" s="25"/>
      <c r="B31" s="26" t="s">
        <v>6</v>
      </c>
      <c r="C31" s="26" t="s">
        <v>8</v>
      </c>
    </row>
    <row r="32" spans="1:3">
      <c r="A32" s="25"/>
      <c r="B32" s="28" t="s">
        <v>360</v>
      </c>
      <c r="C32" s="26" t="s">
        <v>361</v>
      </c>
    </row>
    <row r="33" spans="1:3">
      <c r="A33" s="25"/>
      <c r="B33" s="28" t="s">
        <v>403</v>
      </c>
      <c r="C33" s="29" t="s">
        <v>401</v>
      </c>
    </row>
    <row r="34" spans="1:3">
      <c r="A34" s="25"/>
      <c r="B34" s="28" t="s">
        <v>403</v>
      </c>
      <c r="C34" s="12" t="s">
        <v>364</v>
      </c>
    </row>
    <row r="35" spans="1:3">
      <c r="A35" s="25"/>
      <c r="B35" s="28" t="s">
        <v>403</v>
      </c>
      <c r="C35" s="12" t="s">
        <v>398</v>
      </c>
    </row>
    <row r="36" spans="1:3" ht="34">
      <c r="A36" s="25"/>
      <c r="B36" s="28" t="s">
        <v>403</v>
      </c>
      <c r="C36" s="12" t="s">
        <v>363</v>
      </c>
    </row>
    <row r="37" spans="1:3" ht="34">
      <c r="A37" s="25"/>
      <c r="B37" s="28" t="s">
        <v>403</v>
      </c>
      <c r="C37" s="12" t="s">
        <v>366</v>
      </c>
    </row>
    <row r="38" spans="1:3">
      <c r="A38" s="25"/>
      <c r="B38" s="28" t="s">
        <v>403</v>
      </c>
      <c r="C38" s="12" t="s">
        <v>365</v>
      </c>
    </row>
    <row r="39" spans="1:3">
      <c r="A39" s="25"/>
      <c r="B39" s="28" t="s">
        <v>409</v>
      </c>
      <c r="C39" s="26"/>
    </row>
    <row r="40" spans="1:3">
      <c r="A40" s="25"/>
      <c r="B40" s="28" t="s">
        <v>410</v>
      </c>
      <c r="C40" s="26"/>
    </row>
    <row r="41" spans="1:3">
      <c r="A41" s="25"/>
      <c r="B41" s="28" t="s">
        <v>411</v>
      </c>
      <c r="C41" s="26"/>
    </row>
    <row r="42" spans="1:3">
      <c r="A42" s="25"/>
      <c r="B42" s="26" t="s">
        <v>412</v>
      </c>
      <c r="C42" s="26"/>
    </row>
    <row r="43" spans="1:3">
      <c r="A43" s="25"/>
      <c r="B43" s="26" t="s">
        <v>413</v>
      </c>
      <c r="C43" s="26"/>
    </row>
    <row r="44" spans="1:3">
      <c r="A44" s="25"/>
      <c r="B44" s="26" t="s">
        <v>414</v>
      </c>
      <c r="C44" s="26"/>
    </row>
    <row r="45" spans="1:3">
      <c r="A45" s="25"/>
      <c r="B45" s="26" t="s">
        <v>415</v>
      </c>
      <c r="C45" s="26"/>
    </row>
    <row r="49" spans="1:4">
      <c r="A49" s="20" t="s">
        <v>575</v>
      </c>
      <c r="B49" s="20" t="s">
        <v>568</v>
      </c>
      <c r="C49" s="20" t="s">
        <v>569</v>
      </c>
      <c r="D49" s="20" t="s">
        <v>570</v>
      </c>
    </row>
    <row r="50" spans="1:4">
      <c r="A50"/>
      <c r="B50"/>
    </row>
    <row r="51" spans="1:4">
      <c r="A51"/>
      <c r="B51"/>
    </row>
    <row r="52" spans="1:4">
      <c r="A52"/>
      <c r="B52"/>
    </row>
    <row r="53" spans="1:4">
      <c r="A53"/>
      <c r="B53"/>
    </row>
    <row r="54" spans="1:4">
      <c r="A54"/>
      <c r="B54"/>
    </row>
    <row r="55" spans="1:4">
      <c r="A55"/>
      <c r="B55"/>
    </row>
    <row r="56" spans="1:4">
      <c r="A56"/>
      <c r="B56"/>
    </row>
    <row r="57" spans="1:4">
      <c r="A57"/>
      <c r="B57"/>
    </row>
    <row r="58" spans="1:4">
      <c r="A58"/>
      <c r="B58"/>
    </row>
    <row r="59" spans="1:4">
      <c r="A59"/>
      <c r="B59"/>
    </row>
    <row r="60" spans="1:4">
      <c r="A60"/>
      <c r="B60"/>
    </row>
    <row r="61" spans="1:4">
      <c r="A61"/>
      <c r="B61"/>
    </row>
    <row r="62" spans="1:4">
      <c r="A62"/>
      <c r="B62"/>
    </row>
    <row r="63" spans="1:4">
      <c r="A63"/>
      <c r="B63"/>
    </row>
    <row r="64" spans="1:4">
      <c r="A64"/>
      <c r="B64"/>
    </row>
    <row r="65" spans="1:2">
      <c r="A65"/>
      <c r="B65"/>
    </row>
    <row r="66" spans="1:2">
      <c r="A66"/>
      <c r="B66"/>
    </row>
    <row r="67" spans="1:2">
      <c r="A67"/>
      <c r="B67"/>
    </row>
    <row r="68" spans="1:2">
      <c r="A68"/>
      <c r="B68"/>
    </row>
    <row r="69" spans="1:2">
      <c r="A69"/>
      <c r="B69"/>
    </row>
  </sheetData>
  <phoneticPr fontId="1" type="noConversion"/>
  <conditionalFormatting sqref="B1:B21">
    <cfRule type="containsText" dxfId="97" priority="16" operator="containsText" text="TBD">
      <formula>NOT(ISERROR(SEARCH("TBD",B1)))</formula>
    </cfRule>
  </conditionalFormatting>
  <conditionalFormatting sqref="A1:A21">
    <cfRule type="containsText" dxfId="96" priority="15" operator="containsText" text="TBD">
      <formula>NOT(ISERROR(SEARCH("TBD",A1)))</formula>
    </cfRule>
  </conditionalFormatting>
  <conditionalFormatting sqref="C1">
    <cfRule type="containsText" dxfId="95" priority="7" operator="containsText" text="TBD">
      <formula>NOT(ISERROR(SEARCH("TBD",C1)))</formula>
    </cfRule>
  </conditionalFormatting>
  <conditionalFormatting sqref="A25:C45">
    <cfRule type="containsText" dxfId="94" priority="11" operator="containsText" text="TBD">
      <formula>NOT(ISERROR(SEARCH("TBD",A25)))</formula>
    </cfRule>
  </conditionalFormatting>
  <conditionalFormatting sqref="B49">
    <cfRule type="containsText" dxfId="93" priority="5" operator="containsText" text="TBD">
      <formula>NOT(ISERROR(SEARCH("TBD",B49)))</formula>
    </cfRule>
  </conditionalFormatting>
  <conditionalFormatting sqref="C49">
    <cfRule type="containsText" dxfId="92" priority="4" operator="containsText" text="TBD">
      <formula>NOT(ISERROR(SEARCH("TBD",C49)))</formula>
    </cfRule>
  </conditionalFormatting>
  <conditionalFormatting sqref="D49">
    <cfRule type="containsText" dxfId="91" priority="3" operator="containsText" text="TBD">
      <formula>NOT(ISERROR(SEARCH("TBD",D49)))</formula>
    </cfRule>
  </conditionalFormatting>
  <conditionalFormatting sqref="A49">
    <cfRule type="containsText" dxfId="90" priority="2" operator="containsText" text="TBD">
      <formula>NOT(ISERROR(SEARCH("TBD",A49)))</formula>
    </cfRule>
  </conditionalFormatting>
  <conditionalFormatting sqref="D1">
    <cfRule type="containsText" dxfId="89" priority="1" operator="containsText" text="TBD">
      <formula>NOT(ISERROR(SEARCH("TBD",D1)))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ACAF-47B6-421A-B94C-AC2DCB855150}">
  <dimension ref="A1:H17"/>
  <sheetViews>
    <sheetView zoomScale="70" workbookViewId="0">
      <selection activeCell="C6" sqref="C6:C10"/>
    </sheetView>
  </sheetViews>
  <sheetFormatPr defaultRowHeight="17"/>
  <cols>
    <col min="1" max="1" width="38.08203125" bestFit="1" customWidth="1"/>
    <col min="2" max="2" width="9.5" bestFit="1" customWidth="1"/>
    <col min="3" max="3" width="8.4140625" bestFit="1" customWidth="1"/>
    <col min="4" max="4" width="13.9140625" bestFit="1" customWidth="1"/>
    <col min="5" max="5" width="47.83203125" bestFit="1" customWidth="1"/>
    <col min="6" max="6" width="76.33203125" bestFit="1" customWidth="1"/>
    <col min="7" max="7" width="44.9140625" bestFit="1" customWidth="1"/>
    <col min="8" max="8" width="13.9140625" bestFit="1" customWidth="1"/>
  </cols>
  <sheetData>
    <row r="1" spans="1:8" s="37" customFormat="1">
      <c r="A1" s="30" t="s">
        <v>437</v>
      </c>
      <c r="B1" s="30" t="s">
        <v>344</v>
      </c>
      <c r="C1" s="30" t="s">
        <v>9</v>
      </c>
      <c r="D1" s="30" t="s">
        <v>11</v>
      </c>
      <c r="E1" s="30" t="s">
        <v>345</v>
      </c>
      <c r="F1" s="15" t="s">
        <v>346</v>
      </c>
      <c r="G1" s="15" t="s">
        <v>347</v>
      </c>
      <c r="H1" s="15" t="s">
        <v>348</v>
      </c>
    </row>
    <row r="2" spans="1:8" s="37" customFormat="1">
      <c r="A2" s="36" t="s">
        <v>436</v>
      </c>
      <c r="B2" s="31">
        <v>46113</v>
      </c>
      <c r="C2" s="32" t="s">
        <v>35</v>
      </c>
      <c r="D2" s="32" t="s">
        <v>349</v>
      </c>
      <c r="E2" s="33" t="s">
        <v>350</v>
      </c>
      <c r="F2" s="33" t="s">
        <v>351</v>
      </c>
      <c r="G2" s="33" t="s">
        <v>352</v>
      </c>
      <c r="H2" s="34"/>
    </row>
    <row r="3" spans="1:8" s="37" customFormat="1" ht="85">
      <c r="A3" s="36" t="s">
        <v>436</v>
      </c>
      <c r="B3" s="31">
        <v>46113</v>
      </c>
      <c r="C3" s="32" t="s">
        <v>94</v>
      </c>
      <c r="D3" s="33" t="str">
        <f>IFERROR(INDEX('HRK 테스트'!B:B,MATCH(TRIM(CLEAN(C3)),'HRK 테스트'!A:A,0)),
 IFERROR(INDEX('HLM 테스트'!B:B,MATCH(TRIM(CLEAN(C3)),'HLM 테스트'!A:A,0)),
 IFERROR(INDEX('HTR 테스트'!B:B,MATCH(TRIM(CLEAN(C3)),'HTR 테스트'!A:A,0)),
 IFERROR(INDEX('HDR 테스트'!B:B,MATCH(TRIM(CLEAN(C3)),'HDR 테스트'!A:A,0)),
 IFERROR(INDEX('HDC 테스트'!B:B,MATCH(TRIM(CLEAN(C3)),'HDC 테스트'!A:A,0)),"")))))</f>
        <v>Server 재연결 시 복구</v>
      </c>
      <c r="E3" s="36" t="str">
        <f>IFERROR(INDEX('HRK 테스트'!D:D,MATCH(TRIM(CLEAN(C3)),'HRK 테스트'!A:A,0)),
 IFERROR(INDEX('HLM 테스트'!D:D,MATCH(TRIM(CLEAN(C3)),'HLM 테스트'!A:A,0)),
 IFERROR(INDEX('HTR 테스트'!D:D,MATCH(TRIM(CLEAN(C3)),'HTR 테스트'!A:A,0)),
 IFERROR(INDEX('HDR 테스트'!D:D,MATCH(TRIM(CLEAN(C3)),'HDR 테스트'!A:A,0)),
 IFERROR(INDEX('HDC 테스트'!D:D,MATCH(TRIM(CLEAN(C3)),'HDC 테스트'!A:A,0)),"")))))</f>
        <v>1. Server 접속상태 표시
2. Server와의 접속상태를 갱신하고, 데이터 전송 성공
3. 데이터 전송 실패시 에러메세지 확인( DR(Server)와 끊어짐 상태 표시 또는 전송실패 표시 )
4. 실패 이후 재전송 성공</v>
      </c>
      <c r="F3" s="33" t="s">
        <v>353</v>
      </c>
      <c r="G3" s="33" t="s">
        <v>354</v>
      </c>
      <c r="H3" s="34"/>
    </row>
    <row r="4" spans="1:8" s="37" customFormat="1" ht="68">
      <c r="A4" s="36" t="s">
        <v>436</v>
      </c>
      <c r="B4" s="31">
        <v>46113</v>
      </c>
      <c r="C4" s="32" t="s">
        <v>116</v>
      </c>
      <c r="D4" s="33" t="str">
        <f>IFERROR(INDEX('HRK 테스트'!B:B,MATCH(TRIM(CLEAN(C4)),'HRK 테스트'!A:A,0)),
 IFERROR(INDEX('HLM 테스트'!B:B,MATCH(TRIM(CLEAN(C4)),'HLM 테스트'!A:A,0)),
 IFERROR(INDEX('HTR 테스트'!B:B,MATCH(TRIM(CLEAN(C4)),'HTR 테스트'!A:A,0)),
 IFERROR(INDEX('HDR 테스트'!B:B,MATCH(TRIM(CLEAN(C4)),'HDR 테스트'!A:A,0)),
 IFERROR(INDEX('HDC 테스트'!B:B,MATCH(TRIM(CLEAN(C4)),'HDC 테스트'!A:A,0)),"")))))</f>
        <v>장비 재부팅 시 복구</v>
      </c>
      <c r="E4" s="36" t="str">
        <f>IFERROR(INDEX('HRK 테스트'!D:D,MATCH(TRIM(CLEAN(C4)),'HRK 테스트'!A:A,0)),
 IFERROR(INDEX('HLM 테스트'!D:D,MATCH(TRIM(CLEAN(C4)),'HLM 테스트'!A:A,0)),
 IFERROR(INDEX('HTR 테스트'!D:D,MATCH(TRIM(CLEAN(C4)),'HTR 테스트'!A:A,0)),
 IFERROR(INDEX('HDR 테스트'!D:D,MATCH(TRIM(CLEAN(C4)),'HDR 테스트'!A:A,0)),
 IFERROR(INDEX('HDC 테스트'!D:D,MATCH(TRIM(CLEAN(C4)),'HDC 테스트'!A:A,0)),"")))))</f>
        <v>1. 데이터 전송 성공
2. 데이터 전송 실패시 에러메세지 확인( DR(Server)와 끊어짐 상태 표시 또는 전송실패 표시 )
3. 실패 이후 재전송 성공</v>
      </c>
      <c r="F4" s="33" t="s">
        <v>355</v>
      </c>
      <c r="G4" s="33" t="s">
        <v>356</v>
      </c>
      <c r="H4" s="34"/>
    </row>
    <row r="5" spans="1:8" s="37" customFormat="1" ht="51">
      <c r="A5" s="36" t="s">
        <v>436</v>
      </c>
      <c r="B5" s="31">
        <v>46148</v>
      </c>
      <c r="C5" s="35" t="s">
        <v>438</v>
      </c>
      <c r="D5" s="33" t="str">
        <f>IFERROR(INDEX('HRK 테스트'!B:B,MATCH(TRIM(CLEAN(C5)),'HRK 테스트'!A:A,0)),
 IFERROR(INDEX('HLM 테스트'!B:B,MATCH(TRIM(CLEAN(C5)),'HLM 테스트'!A:A,0)),
 IFERROR(INDEX('HTR 테스트'!B:B,MATCH(TRIM(CLEAN(C5)),'HTR 테스트'!A:A,0)),
 IFERROR(INDEX('HDR 테스트'!B:B,MATCH(TRIM(CLEAN(C5)),'HDR 테스트'!A:A,0)),
 IFERROR(INDEX('HDC 테스트'!B:B,MATCH(TRIM(CLEAN(C5)),'HDC 테스트'!A:A,0)),"")))))</f>
        <v>AP 연결 및 인증 확인</v>
      </c>
      <c r="E5" s="36" t="str">
        <f>IFERROR(INDEX('HRK 테스트'!D:D,MATCH(TRIM(CLEAN(C5)),'HRK 테스트'!A:A,0)),
 IFERROR(INDEX('HLM 테스트'!D:D,MATCH(TRIM(CLEAN(C5)),'HLM 테스트'!A:A,0)),
 IFERROR(INDEX('HTR 테스트'!D:D,MATCH(TRIM(CLEAN(C5)),'HTR 테스트'!A:A,0)),
 IFERROR(INDEX('HDR 테스트'!D:D,MATCH(TRIM(CLEAN(C5)),'HDR 테스트'!A:A,0)),
 IFERROR(INDEX('HDC 테스트'!D:D,MATCH(TRIM(CLEAN(C5)),'HDC 테스트'!A:A,0)),"")))))</f>
        <v>1. 연결 가능한 AP 목록 (SSID/RSSI 순서)
2. AP 연결 성공
3. AP 인증 성공</v>
      </c>
      <c r="F5" s="36" t="str">
        <f>IFERROR(INDEX('Test Cases'!K:K,MATCH(TRIM(CLEAN(C5)),'Test Cases'!A:A,0)),"")</f>
        <v>SETUP MODE 화면 진입 위해 "홈 화면 우측 하단 톱니바퀴 아이콘 터치" 시 간헐적 미인식</v>
      </c>
      <c r="G5" s="36"/>
      <c r="H5" s="36"/>
    </row>
    <row r="6" spans="1:8" s="37" customFormat="1">
      <c r="A6" s="36" t="s">
        <v>541</v>
      </c>
      <c r="C6" s="35" t="s">
        <v>27</v>
      </c>
      <c r="F6" s="36">
        <f>IFERROR(INDEX('Test Cases'!K:K,MATCH(TRIM(CLEAN(C6)),'Test Cases'!A:A,0)),"")</f>
        <v>0</v>
      </c>
    </row>
    <row r="7" spans="1:8" s="37" customFormat="1">
      <c r="A7" s="36" t="s">
        <v>541</v>
      </c>
      <c r="C7" s="35" t="s">
        <v>35</v>
      </c>
      <c r="F7" s="36">
        <f>IFERROR(INDEX('Test Cases'!K:K,MATCH(TRIM(CLEAN(C7)),'Test Cases'!A:A,0)),"")</f>
        <v>0</v>
      </c>
    </row>
    <row r="8" spans="1:8" s="37" customFormat="1">
      <c r="A8" s="36" t="s">
        <v>541</v>
      </c>
      <c r="C8" s="35" t="s">
        <v>50</v>
      </c>
      <c r="F8" s="36">
        <f>IFERROR(INDEX('Test Cases'!K:K,MATCH(TRIM(CLEAN(C8)),'Test Cases'!A:A,0)),"")</f>
        <v>0</v>
      </c>
    </row>
    <row r="9" spans="1:8" s="37" customFormat="1">
      <c r="A9" s="36" t="s">
        <v>541</v>
      </c>
      <c r="C9" s="35" t="s">
        <v>56</v>
      </c>
      <c r="F9" s="36">
        <f>IFERROR(INDEX('Test Cases'!K:K,MATCH(TRIM(CLEAN(C9)),'Test Cases'!A:A,0)),"")</f>
        <v>0</v>
      </c>
    </row>
    <row r="10" spans="1:8" s="37" customFormat="1">
      <c r="A10" s="36" t="s">
        <v>541</v>
      </c>
      <c r="C10" s="35" t="s">
        <v>66</v>
      </c>
      <c r="F10" s="36">
        <f>IFERROR(INDEX('Test Cases'!K:K,MATCH(TRIM(CLEAN(C10)),'Test Cases'!A:A,0)),"")</f>
        <v>0</v>
      </c>
    </row>
    <row r="11" spans="1:8" s="37" customFormat="1">
      <c r="A11" s="36" t="s">
        <v>541</v>
      </c>
      <c r="C11" s="35" t="s">
        <v>72</v>
      </c>
      <c r="F11" s="36">
        <f>IFERROR(INDEX('Test Cases'!K:K,MATCH(TRIM(CLEAN(C11)),'Test Cases'!A:A,0)),"")</f>
        <v>0</v>
      </c>
    </row>
    <row r="12" spans="1:8" s="37" customFormat="1">
      <c r="A12" s="36" t="s">
        <v>541</v>
      </c>
      <c r="C12" s="35" t="s">
        <v>78</v>
      </c>
      <c r="F12" s="36">
        <f>IFERROR(INDEX('Test Cases'!K:K,MATCH(TRIM(CLEAN(C12)),'Test Cases'!A:A,0)),"")</f>
        <v>0</v>
      </c>
    </row>
    <row r="13" spans="1:8" s="37" customFormat="1">
      <c r="A13" s="36" t="s">
        <v>541</v>
      </c>
      <c r="C13" s="35" t="s">
        <v>85</v>
      </c>
      <c r="F13" s="36">
        <f>IFERROR(INDEX('Test Cases'!K:K,MATCH(TRIM(CLEAN(C13)),'Test Cases'!A:A,0)),"")</f>
        <v>0</v>
      </c>
    </row>
    <row r="14" spans="1:8" s="37" customFormat="1" ht="34">
      <c r="A14" s="36" t="s">
        <v>541</v>
      </c>
      <c r="C14" s="35" t="s">
        <v>94</v>
      </c>
      <c r="F14" s="36" t="str">
        <f>IFERROR(INDEX('Test Cases'!K:K,MATCH(TRIM(CLEAN(C14)),'Test Cases'!A:A,0)),"")</f>
        <v>-. HRK-9000A CCD 타입은 AP끊었을 시, 아이콘 갱신이 다소 오래걸림(Ver26)
-. AP 재부팅 시, HDR에서 HRK와 자동 연결이 안되고, HRK에서 재시도를 하면 연결됨</v>
      </c>
    </row>
    <row r="15" spans="1:8" s="37" customFormat="1">
      <c r="A15" s="36" t="s">
        <v>541</v>
      </c>
      <c r="C15" s="35" t="s">
        <v>116</v>
      </c>
      <c r="F15" s="36">
        <f>IFERROR(INDEX('Test Cases'!K:K,MATCH(TRIM(CLEAN(C15)),'Test Cases'!A:A,0)),"")</f>
        <v>0</v>
      </c>
    </row>
    <row r="16" spans="1:8" s="37" customFormat="1">
      <c r="A16" s="36" t="s">
        <v>541</v>
      </c>
      <c r="C16" s="35" t="s">
        <v>540</v>
      </c>
      <c r="F16" s="36" t="str">
        <f>IFERROR(INDEX('Test Cases'!K:K,MATCH(TRIM(CLEAN(C16)),'Test Cases'!A:A,0)),"")</f>
        <v/>
      </c>
    </row>
    <row r="17" s="37" customFormat="1"/>
  </sheetData>
  <phoneticPr fontId="1" type="noConversion"/>
  <conditionalFormatting sqref="D5:D7">
    <cfRule type="containsText" dxfId="88" priority="3" operator="containsText" text="TBD">
      <formula>NOT(ISERROR(SEARCH("TBD",D5)))</formula>
    </cfRule>
  </conditionalFormatting>
  <conditionalFormatting sqref="D3">
    <cfRule type="containsText" dxfId="87" priority="1" operator="containsText" text="TBD">
      <formula>NOT(ISERROR(SEARCH("TBD",D3)))</formula>
    </cfRule>
  </conditionalFormatting>
  <conditionalFormatting sqref="D4">
    <cfRule type="containsText" dxfId="86" priority="2" operator="containsText" text="TBD">
      <formula>NOT(ISERROR(SEARCH("TBD",D4)))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FFB3-D9BF-415A-B015-DD811646E8B6}">
  <dimension ref="A1:K216"/>
  <sheetViews>
    <sheetView zoomScale="45" zoomScaleNormal="25" workbookViewId="0">
      <selection activeCell="C6" sqref="C6:C10"/>
    </sheetView>
  </sheetViews>
  <sheetFormatPr defaultColWidth="52.9140625" defaultRowHeight="17"/>
  <cols>
    <col min="1" max="1" width="15.9140625" customWidth="1"/>
    <col min="2" max="2" width="27.58203125" bestFit="1" customWidth="1"/>
    <col min="3" max="3" width="52.6640625" bestFit="1" customWidth="1"/>
    <col min="4" max="4" width="77.9140625" customWidth="1"/>
    <col min="5" max="5" width="22.33203125" bestFit="1" customWidth="1"/>
    <col min="6" max="6" width="50.33203125" customWidth="1"/>
    <col min="7" max="7" width="110.25" customWidth="1"/>
    <col min="8" max="8" width="185.83203125" customWidth="1"/>
    <col min="9" max="9" width="52.5" bestFit="1" customWidth="1"/>
    <col min="10" max="10" width="33.6640625" customWidth="1"/>
    <col min="11" max="11" width="85.4140625" customWidth="1"/>
  </cols>
  <sheetData>
    <row r="1" spans="1:11" ht="17.5" thickBot="1">
      <c r="A1" s="4" t="s">
        <v>418</v>
      </c>
      <c r="B1" s="5" t="s">
        <v>11</v>
      </c>
      <c r="C1" s="5" t="s">
        <v>12</v>
      </c>
      <c r="D1" s="5" t="s">
        <v>13</v>
      </c>
      <c r="E1" s="22" t="s">
        <v>583</v>
      </c>
      <c r="F1" s="22" t="s">
        <v>408</v>
      </c>
      <c r="G1" s="22" t="s">
        <v>576</v>
      </c>
      <c r="H1" s="22" t="s">
        <v>579</v>
      </c>
      <c r="I1" s="5" t="s">
        <v>14</v>
      </c>
      <c r="J1" s="5" t="s">
        <v>15</v>
      </c>
      <c r="K1" s="5" t="s">
        <v>16</v>
      </c>
    </row>
    <row r="2" spans="1:11" ht="68.5" thickBot="1">
      <c r="A2" s="47" t="s">
        <v>438</v>
      </c>
      <c r="B2" s="47" t="s">
        <v>18</v>
      </c>
      <c r="C2" s="44" t="s">
        <v>357</v>
      </c>
      <c r="D2" s="44" t="s">
        <v>19</v>
      </c>
      <c r="E2" s="47" t="s">
        <v>473</v>
      </c>
      <c r="F2" s="44" t="s">
        <v>567</v>
      </c>
      <c r="G2" s="3" t="s">
        <v>20</v>
      </c>
      <c r="H2" s="3" t="s">
        <v>359</v>
      </c>
      <c r="I2" s="44" t="s">
        <v>21</v>
      </c>
      <c r="J2" s="44" t="s">
        <v>22</v>
      </c>
      <c r="K2" s="6" t="s">
        <v>439</v>
      </c>
    </row>
    <row r="3" spans="1:11" ht="17.5" thickBot="1">
      <c r="A3" s="48"/>
      <c r="B3" s="48"/>
      <c r="C3" s="45"/>
      <c r="D3" s="45"/>
      <c r="E3" s="48"/>
      <c r="F3" s="45"/>
      <c r="G3" s="3" t="s">
        <v>358</v>
      </c>
      <c r="H3" s="3" t="s">
        <v>24</v>
      </c>
      <c r="I3" s="45"/>
      <c r="J3" s="45"/>
      <c r="K3" s="7"/>
    </row>
    <row r="4" spans="1:11" ht="85.5" thickBot="1">
      <c r="A4" s="49"/>
      <c r="B4" s="49"/>
      <c r="C4" s="46"/>
      <c r="D4" s="46"/>
      <c r="E4" s="49"/>
      <c r="F4" s="46"/>
      <c r="G4" s="3" t="s">
        <v>25</v>
      </c>
      <c r="H4" s="3" t="s">
        <v>26</v>
      </c>
      <c r="I4" s="46"/>
      <c r="J4" s="46"/>
      <c r="K4" s="7"/>
    </row>
    <row r="5" spans="1:11" ht="136.5" thickBot="1">
      <c r="A5" s="2" t="s">
        <v>27</v>
      </c>
      <c r="B5" s="8" t="s">
        <v>28</v>
      </c>
      <c r="C5" s="3" t="s">
        <v>29</v>
      </c>
      <c r="D5" s="3" t="s">
        <v>30</v>
      </c>
      <c r="E5" s="2" t="s">
        <v>474</v>
      </c>
      <c r="F5" s="3" t="s">
        <v>486</v>
      </c>
      <c r="G5" s="3" t="s">
        <v>31</v>
      </c>
      <c r="H5" s="3" t="s">
        <v>32</v>
      </c>
      <c r="I5" s="3" t="s">
        <v>33</v>
      </c>
      <c r="J5" s="3" t="s">
        <v>34</v>
      </c>
      <c r="K5" s="7"/>
    </row>
    <row r="6" spans="1:11" ht="153.5" thickBot="1">
      <c r="A6" s="47" t="s">
        <v>35</v>
      </c>
      <c r="B6" s="47" t="s">
        <v>36</v>
      </c>
      <c r="C6" s="44" t="s">
        <v>37</v>
      </c>
      <c r="D6" s="44" t="s">
        <v>38</v>
      </c>
      <c r="E6" s="47" t="s">
        <v>475</v>
      </c>
      <c r="F6" s="44" t="s">
        <v>486</v>
      </c>
      <c r="G6" s="3" t="s">
        <v>39</v>
      </c>
      <c r="H6" s="3" t="s">
        <v>40</v>
      </c>
      <c r="I6" s="44" t="s">
        <v>41</v>
      </c>
      <c r="J6" s="44" t="s">
        <v>34</v>
      </c>
      <c r="K6" s="7"/>
    </row>
    <row r="7" spans="1:11" ht="34.5" thickBot="1">
      <c r="A7" s="48"/>
      <c r="B7" s="48"/>
      <c r="C7" s="45"/>
      <c r="D7" s="45"/>
      <c r="E7" s="48"/>
      <c r="F7" s="45"/>
      <c r="G7" s="3" t="s">
        <v>42</v>
      </c>
      <c r="H7" s="3" t="s">
        <v>43</v>
      </c>
      <c r="I7" s="45"/>
      <c r="J7" s="45"/>
      <c r="K7" s="7"/>
    </row>
    <row r="8" spans="1:11" ht="17.5" thickBot="1">
      <c r="A8" s="48"/>
      <c r="B8" s="48"/>
      <c r="C8" s="45"/>
      <c r="D8" s="45"/>
      <c r="E8" s="48"/>
      <c r="F8" s="45"/>
      <c r="G8" s="3" t="s">
        <v>44</v>
      </c>
      <c r="H8" s="3" t="s">
        <v>45</v>
      </c>
      <c r="I8" s="45"/>
      <c r="J8" s="45"/>
      <c r="K8" s="7"/>
    </row>
    <row r="9" spans="1:11" ht="34.5" thickBot="1">
      <c r="A9" s="48"/>
      <c r="B9" s="48"/>
      <c r="C9" s="45"/>
      <c r="D9" s="45"/>
      <c r="E9" s="48"/>
      <c r="F9" s="45"/>
      <c r="G9" s="3" t="s">
        <v>46</v>
      </c>
      <c r="H9" s="3" t="s">
        <v>47</v>
      </c>
      <c r="I9" s="45"/>
      <c r="J9" s="45"/>
      <c r="K9" s="7"/>
    </row>
    <row r="10" spans="1:11" ht="34.5" thickBot="1">
      <c r="A10" s="49"/>
      <c r="B10" s="49"/>
      <c r="C10" s="46"/>
      <c r="D10" s="46"/>
      <c r="E10" s="49"/>
      <c r="F10" s="46"/>
      <c r="G10" s="3" t="s">
        <v>48</v>
      </c>
      <c r="H10" s="3" t="s">
        <v>49</v>
      </c>
      <c r="I10" s="46"/>
      <c r="J10" s="46"/>
      <c r="K10" s="7"/>
    </row>
    <row r="11" spans="1:11" ht="153.5" thickBot="1">
      <c r="A11" s="47" t="s">
        <v>50</v>
      </c>
      <c r="B11" s="47" t="s">
        <v>51</v>
      </c>
      <c r="C11" s="44" t="s">
        <v>52</v>
      </c>
      <c r="D11" s="44" t="s">
        <v>38</v>
      </c>
      <c r="E11" s="47" t="s">
        <v>476</v>
      </c>
      <c r="F11" s="44" t="s">
        <v>486</v>
      </c>
      <c r="G11" s="3" t="s">
        <v>53</v>
      </c>
      <c r="H11" s="3" t="s">
        <v>40</v>
      </c>
      <c r="I11" s="44" t="s">
        <v>41</v>
      </c>
      <c r="J11" s="44" t="s">
        <v>34</v>
      </c>
      <c r="K11" s="7"/>
    </row>
    <row r="12" spans="1:11" ht="34.5" thickBot="1">
      <c r="A12" s="48"/>
      <c r="B12" s="48"/>
      <c r="C12" s="45"/>
      <c r="D12" s="45"/>
      <c r="E12" s="48"/>
      <c r="F12" s="45"/>
      <c r="G12" s="3" t="s">
        <v>54</v>
      </c>
      <c r="H12" s="3" t="s">
        <v>55</v>
      </c>
      <c r="I12" s="45"/>
      <c r="J12" s="45"/>
      <c r="K12" s="7"/>
    </row>
    <row r="13" spans="1:11" ht="119.5" thickBot="1">
      <c r="A13" s="48"/>
      <c r="B13" s="48"/>
      <c r="C13" s="45"/>
      <c r="D13" s="45"/>
      <c r="E13" s="48"/>
      <c r="F13" s="45"/>
      <c r="G13" s="3" t="s">
        <v>46</v>
      </c>
      <c r="H13" s="3" t="s">
        <v>435</v>
      </c>
      <c r="I13" s="45"/>
      <c r="J13" s="45"/>
      <c r="K13" s="7"/>
    </row>
    <row r="14" spans="1:11" ht="34.5" thickBot="1">
      <c r="A14" s="49"/>
      <c r="B14" s="49"/>
      <c r="C14" s="46"/>
      <c r="D14" s="46"/>
      <c r="E14" s="49"/>
      <c r="F14" s="46"/>
      <c r="G14" s="3" t="s">
        <v>48</v>
      </c>
      <c r="H14" s="3" t="s">
        <v>49</v>
      </c>
      <c r="I14" s="46"/>
      <c r="J14" s="46"/>
      <c r="K14" s="7"/>
    </row>
    <row r="15" spans="1:11" ht="68.5" thickBot="1">
      <c r="A15" s="47" t="s">
        <v>56</v>
      </c>
      <c r="B15" s="47" t="s">
        <v>57</v>
      </c>
      <c r="C15" s="44" t="s">
        <v>58</v>
      </c>
      <c r="D15" s="44" t="s">
        <v>59</v>
      </c>
      <c r="E15" s="47" t="s">
        <v>477</v>
      </c>
      <c r="F15" s="44" t="s">
        <v>486</v>
      </c>
      <c r="G15" s="3" t="s">
        <v>60</v>
      </c>
      <c r="H15" s="3" t="s">
        <v>61</v>
      </c>
      <c r="I15" s="44" t="s">
        <v>62</v>
      </c>
      <c r="J15" s="44" t="s">
        <v>63</v>
      </c>
      <c r="K15" s="7"/>
    </row>
    <row r="16" spans="1:11" ht="255.5" thickBot="1">
      <c r="A16" s="49"/>
      <c r="B16" s="49"/>
      <c r="C16" s="46"/>
      <c r="D16" s="46"/>
      <c r="E16" s="49"/>
      <c r="F16" s="46"/>
      <c r="G16" s="3" t="s">
        <v>64</v>
      </c>
      <c r="H16" s="3" t="s">
        <v>419</v>
      </c>
      <c r="I16" s="46"/>
      <c r="J16" s="46"/>
      <c r="K16" s="7"/>
    </row>
    <row r="17" spans="1:11" ht="68.5" thickBot="1">
      <c r="A17" s="47" t="s">
        <v>66</v>
      </c>
      <c r="B17" s="47" t="s">
        <v>67</v>
      </c>
      <c r="C17" s="44" t="s">
        <v>68</v>
      </c>
      <c r="D17" s="44" t="s">
        <v>59</v>
      </c>
      <c r="E17" s="47" t="s">
        <v>478</v>
      </c>
      <c r="F17" s="44" t="s">
        <v>486</v>
      </c>
      <c r="G17" s="3" t="s">
        <v>69</v>
      </c>
      <c r="H17" s="3" t="s">
        <v>70</v>
      </c>
      <c r="I17" s="44" t="s">
        <v>62</v>
      </c>
      <c r="J17" s="44" t="s">
        <v>63</v>
      </c>
      <c r="K17" s="7"/>
    </row>
    <row r="18" spans="1:11" ht="221.5" thickBot="1">
      <c r="A18" s="49"/>
      <c r="B18" s="49"/>
      <c r="C18" s="46"/>
      <c r="D18" s="46"/>
      <c r="E18" s="49"/>
      <c r="F18" s="46"/>
      <c r="G18" s="3" t="s">
        <v>71</v>
      </c>
      <c r="H18" s="3" t="s">
        <v>420</v>
      </c>
      <c r="I18" s="46"/>
      <c r="J18" s="46"/>
      <c r="K18" s="7"/>
    </row>
    <row r="19" spans="1:11" ht="68.5" thickBot="1">
      <c r="A19" s="47" t="s">
        <v>72</v>
      </c>
      <c r="B19" s="47" t="s">
        <v>73</v>
      </c>
      <c r="C19" s="44" t="s">
        <v>74</v>
      </c>
      <c r="D19" s="44" t="s">
        <v>59</v>
      </c>
      <c r="E19" s="47" t="s">
        <v>479</v>
      </c>
      <c r="F19" s="44" t="s">
        <v>486</v>
      </c>
      <c r="G19" s="3" t="s">
        <v>75</v>
      </c>
      <c r="H19" s="3" t="s">
        <v>76</v>
      </c>
      <c r="I19" s="44" t="s">
        <v>77</v>
      </c>
      <c r="J19" s="44" t="s">
        <v>63</v>
      </c>
      <c r="K19" s="7"/>
    </row>
    <row r="20" spans="1:11" ht="221.5" thickBot="1">
      <c r="A20" s="49"/>
      <c r="B20" s="49"/>
      <c r="C20" s="46"/>
      <c r="D20" s="46"/>
      <c r="E20" s="49"/>
      <c r="F20" s="46"/>
      <c r="G20" s="3" t="s">
        <v>71</v>
      </c>
      <c r="H20" s="3" t="s">
        <v>420</v>
      </c>
      <c r="I20" s="46"/>
      <c r="J20" s="46"/>
      <c r="K20" s="7"/>
    </row>
    <row r="21" spans="1:11" ht="68.5" thickBot="1">
      <c r="A21" s="47" t="s">
        <v>78</v>
      </c>
      <c r="B21" s="47" t="s">
        <v>79</v>
      </c>
      <c r="C21" s="44" t="s">
        <v>80</v>
      </c>
      <c r="D21" s="44" t="s">
        <v>59</v>
      </c>
      <c r="E21" s="47" t="s">
        <v>480</v>
      </c>
      <c r="F21" s="44" t="s">
        <v>486</v>
      </c>
      <c r="G21" s="3" t="s">
        <v>81</v>
      </c>
      <c r="H21" s="3" t="s">
        <v>82</v>
      </c>
      <c r="I21" s="44" t="s">
        <v>83</v>
      </c>
      <c r="J21" s="44" t="s">
        <v>63</v>
      </c>
      <c r="K21" s="7"/>
    </row>
    <row r="22" spans="1:11" ht="221.5" thickBot="1">
      <c r="A22" s="49"/>
      <c r="B22" s="49"/>
      <c r="C22" s="46"/>
      <c r="D22" s="46"/>
      <c r="E22" s="49"/>
      <c r="F22" s="46"/>
      <c r="G22" s="3" t="s">
        <v>84</v>
      </c>
      <c r="H22" s="3" t="s">
        <v>420</v>
      </c>
      <c r="I22" s="46"/>
      <c r="J22" s="46"/>
      <c r="K22" s="7"/>
    </row>
    <row r="23" spans="1:11" ht="68.5" thickBot="1">
      <c r="A23" s="47" t="s">
        <v>85</v>
      </c>
      <c r="B23" s="47" t="s">
        <v>86</v>
      </c>
      <c r="C23" s="44" t="s">
        <v>87</v>
      </c>
      <c r="D23" s="44" t="s">
        <v>59</v>
      </c>
      <c r="E23" s="47" t="s">
        <v>481</v>
      </c>
      <c r="F23" s="44" t="s">
        <v>486</v>
      </c>
      <c r="G23" s="3" t="s">
        <v>88</v>
      </c>
      <c r="H23" s="3" t="s">
        <v>82</v>
      </c>
      <c r="I23" s="44" t="s">
        <v>83</v>
      </c>
      <c r="J23" s="44" t="s">
        <v>63</v>
      </c>
      <c r="K23" s="7"/>
    </row>
    <row r="24" spans="1:11" ht="34.5" thickBot="1">
      <c r="A24" s="48"/>
      <c r="B24" s="48"/>
      <c r="C24" s="45"/>
      <c r="D24" s="45"/>
      <c r="E24" s="48"/>
      <c r="F24" s="45"/>
      <c r="G24" s="3" t="s">
        <v>89</v>
      </c>
      <c r="H24" s="3" t="s">
        <v>90</v>
      </c>
      <c r="I24" s="45"/>
      <c r="J24" s="45"/>
      <c r="K24" s="7"/>
    </row>
    <row r="25" spans="1:11" ht="34.5" thickBot="1">
      <c r="A25" s="48"/>
      <c r="B25" s="48"/>
      <c r="C25" s="45"/>
      <c r="D25" s="45"/>
      <c r="E25" s="48"/>
      <c r="F25" s="45"/>
      <c r="G25" s="3" t="s">
        <v>91</v>
      </c>
      <c r="H25" s="3" t="s">
        <v>92</v>
      </c>
      <c r="I25" s="45"/>
      <c r="J25" s="45"/>
      <c r="K25" s="7"/>
    </row>
    <row r="26" spans="1:11" ht="153.5" thickBot="1">
      <c r="A26" s="49"/>
      <c r="B26" s="49"/>
      <c r="C26" s="46"/>
      <c r="D26" s="46"/>
      <c r="E26" s="49"/>
      <c r="F26" s="46"/>
      <c r="G26" s="3" t="s">
        <v>93</v>
      </c>
      <c r="H26" s="3" t="s">
        <v>65</v>
      </c>
      <c r="I26" s="46"/>
      <c r="J26" s="46"/>
      <c r="K26" s="7"/>
    </row>
    <row r="27" spans="1:11" ht="136.5" customHeight="1" thickBot="1">
      <c r="A27" s="47" t="s">
        <v>94</v>
      </c>
      <c r="B27" s="47" t="s">
        <v>95</v>
      </c>
      <c r="C27" s="50" t="s">
        <v>96</v>
      </c>
      <c r="D27" s="50" t="s">
        <v>97</v>
      </c>
      <c r="E27" s="47" t="s">
        <v>482</v>
      </c>
      <c r="F27" s="44" t="s">
        <v>486</v>
      </c>
      <c r="G27" s="3" t="s">
        <v>98</v>
      </c>
      <c r="H27" s="3" t="s">
        <v>99</v>
      </c>
      <c r="I27" s="44" t="s">
        <v>100</v>
      </c>
      <c r="J27" s="44" t="s">
        <v>101</v>
      </c>
      <c r="K27" s="3" t="s">
        <v>102</v>
      </c>
    </row>
    <row r="28" spans="1:11" ht="170.5" customHeight="1" thickBot="1">
      <c r="A28" s="48"/>
      <c r="B28" s="48"/>
      <c r="C28" s="51"/>
      <c r="D28" s="51"/>
      <c r="E28" s="48"/>
      <c r="F28" s="45"/>
      <c r="G28" s="3" t="s">
        <v>103</v>
      </c>
      <c r="H28" s="3" t="s">
        <v>104</v>
      </c>
      <c r="I28" s="45"/>
      <c r="J28" s="45"/>
      <c r="K28" s="7"/>
    </row>
    <row r="29" spans="1:11" ht="85.5" customHeight="1" thickBot="1">
      <c r="A29" s="48"/>
      <c r="B29" s="48"/>
      <c r="C29" s="51"/>
      <c r="D29" s="51"/>
      <c r="E29" s="48"/>
      <c r="F29" s="45"/>
      <c r="G29" s="3" t="s">
        <v>105</v>
      </c>
      <c r="H29" s="3" t="s">
        <v>106</v>
      </c>
      <c r="I29" s="45"/>
      <c r="J29" s="45"/>
      <c r="K29" s="7"/>
    </row>
    <row r="30" spans="1:11" ht="68.5" customHeight="1" thickBot="1">
      <c r="A30" s="48"/>
      <c r="B30" s="48"/>
      <c r="C30" s="51"/>
      <c r="D30" s="51"/>
      <c r="E30" s="48"/>
      <c r="F30" s="45"/>
      <c r="G30" s="3" t="s">
        <v>107</v>
      </c>
      <c r="H30" s="3" t="s">
        <v>108</v>
      </c>
      <c r="I30" s="45"/>
      <c r="J30" s="45"/>
      <c r="K30" s="7"/>
    </row>
    <row r="31" spans="1:11" ht="51.5" customHeight="1" thickBot="1">
      <c r="A31" s="48"/>
      <c r="B31" s="48"/>
      <c r="C31" s="51"/>
      <c r="D31" s="51"/>
      <c r="E31" s="48"/>
      <c r="F31" s="45"/>
      <c r="G31" s="3" t="s">
        <v>109</v>
      </c>
      <c r="H31" s="3" t="s">
        <v>110</v>
      </c>
      <c r="I31" s="45"/>
      <c r="J31" s="45"/>
      <c r="K31" s="7"/>
    </row>
    <row r="32" spans="1:11" ht="119.5" customHeight="1" thickBot="1">
      <c r="A32" s="48"/>
      <c r="B32" s="48"/>
      <c r="C32" s="51"/>
      <c r="D32" s="51"/>
      <c r="E32" s="48"/>
      <c r="F32" s="45"/>
      <c r="G32" s="3" t="s">
        <v>111</v>
      </c>
      <c r="H32" s="3" t="s">
        <v>112</v>
      </c>
      <c r="I32" s="45"/>
      <c r="J32" s="45"/>
      <c r="K32" s="7"/>
    </row>
    <row r="33" spans="1:11" ht="153.5" customHeight="1" thickBot="1">
      <c r="A33" s="48"/>
      <c r="B33" s="48"/>
      <c r="C33" s="51"/>
      <c r="D33" s="51"/>
      <c r="E33" s="48"/>
      <c r="F33" s="45"/>
      <c r="G33" s="3" t="s">
        <v>113</v>
      </c>
      <c r="H33" s="3" t="s">
        <v>114</v>
      </c>
      <c r="I33" s="45"/>
      <c r="J33" s="45"/>
      <c r="K33" s="7"/>
    </row>
    <row r="34" spans="1:11" ht="68.5" customHeight="1" thickBot="1">
      <c r="A34" s="48"/>
      <c r="B34" s="48"/>
      <c r="C34" s="51"/>
      <c r="D34" s="51"/>
      <c r="E34" s="48"/>
      <c r="F34" s="46"/>
      <c r="G34" s="3" t="s">
        <v>48</v>
      </c>
      <c r="H34" s="3" t="s">
        <v>115</v>
      </c>
      <c r="I34" s="46"/>
      <c r="J34" s="46"/>
      <c r="K34" s="7"/>
    </row>
    <row r="35" spans="1:11" ht="136.5" customHeight="1" thickBot="1">
      <c r="A35" s="48"/>
      <c r="B35" s="48"/>
      <c r="C35" s="51"/>
      <c r="D35" s="53"/>
      <c r="E35" s="48"/>
      <c r="F35" s="44" t="s">
        <v>486</v>
      </c>
      <c r="G35" s="3" t="s">
        <v>98</v>
      </c>
      <c r="H35" s="3" t="s">
        <v>99</v>
      </c>
      <c r="I35" s="44" t="s">
        <v>100</v>
      </c>
      <c r="J35" s="44" t="s">
        <v>101</v>
      </c>
      <c r="K35" s="3" t="s">
        <v>102</v>
      </c>
    </row>
    <row r="36" spans="1:11" ht="170.5" customHeight="1" thickBot="1">
      <c r="A36" s="48"/>
      <c r="B36" s="48"/>
      <c r="C36" s="51"/>
      <c r="D36" s="53"/>
      <c r="E36" s="48"/>
      <c r="F36" s="45"/>
      <c r="G36" s="3" t="s">
        <v>103</v>
      </c>
      <c r="H36" s="3" t="s">
        <v>104</v>
      </c>
      <c r="I36" s="45"/>
      <c r="J36" s="45"/>
      <c r="K36" s="7"/>
    </row>
    <row r="37" spans="1:11" ht="85.5" customHeight="1" thickBot="1">
      <c r="A37" s="48"/>
      <c r="B37" s="48"/>
      <c r="C37" s="51"/>
      <c r="D37" s="53"/>
      <c r="E37" s="48"/>
      <c r="F37" s="45"/>
      <c r="G37" s="3" t="s">
        <v>105</v>
      </c>
      <c r="H37" s="3" t="s">
        <v>106</v>
      </c>
      <c r="I37" s="45"/>
      <c r="J37" s="45"/>
      <c r="K37" s="7"/>
    </row>
    <row r="38" spans="1:11" ht="68.5" customHeight="1" thickBot="1">
      <c r="A38" s="48"/>
      <c r="B38" s="48"/>
      <c r="C38" s="51"/>
      <c r="D38" s="53"/>
      <c r="E38" s="48"/>
      <c r="F38" s="45"/>
      <c r="G38" s="3" t="s">
        <v>107</v>
      </c>
      <c r="H38" s="3" t="s">
        <v>108</v>
      </c>
      <c r="I38" s="45"/>
      <c r="J38" s="45"/>
      <c r="K38" s="7"/>
    </row>
    <row r="39" spans="1:11" ht="51.5" customHeight="1" thickBot="1">
      <c r="A39" s="48"/>
      <c r="B39" s="48"/>
      <c r="C39" s="51"/>
      <c r="D39" s="53"/>
      <c r="E39" s="48"/>
      <c r="F39" s="45"/>
      <c r="G39" s="3" t="s">
        <v>109</v>
      </c>
      <c r="H39" s="3" t="s">
        <v>110</v>
      </c>
      <c r="I39" s="45"/>
      <c r="J39" s="45"/>
      <c r="K39" s="7"/>
    </row>
    <row r="40" spans="1:11" ht="119.5" customHeight="1" thickBot="1">
      <c r="A40" s="48"/>
      <c r="B40" s="48"/>
      <c r="C40" s="51"/>
      <c r="D40" s="53"/>
      <c r="E40" s="48"/>
      <c r="F40" s="45"/>
      <c r="G40" s="3" t="s">
        <v>111</v>
      </c>
      <c r="H40" s="3" t="s">
        <v>112</v>
      </c>
      <c r="I40" s="45"/>
      <c r="J40" s="45"/>
      <c r="K40" s="7"/>
    </row>
    <row r="41" spans="1:11" ht="153.5" customHeight="1" thickBot="1">
      <c r="A41" s="48"/>
      <c r="B41" s="48"/>
      <c r="C41" s="51"/>
      <c r="D41" s="53"/>
      <c r="E41" s="48"/>
      <c r="F41" s="45"/>
      <c r="G41" s="3" t="s">
        <v>113</v>
      </c>
      <c r="H41" s="3" t="s">
        <v>114</v>
      </c>
      <c r="I41" s="45"/>
      <c r="J41" s="45"/>
      <c r="K41" s="7"/>
    </row>
    <row r="42" spans="1:11" ht="68.5" customHeight="1" thickBot="1">
      <c r="A42" s="49"/>
      <c r="B42" s="49"/>
      <c r="C42" s="52"/>
      <c r="D42" s="54"/>
      <c r="E42" s="49"/>
      <c r="F42" s="46"/>
      <c r="G42" s="3" t="s">
        <v>48</v>
      </c>
      <c r="H42" s="3" t="s">
        <v>115</v>
      </c>
      <c r="I42" s="46"/>
      <c r="J42" s="46"/>
      <c r="K42" s="7"/>
    </row>
    <row r="43" spans="1:11" ht="136.5" thickBot="1">
      <c r="A43" s="47" t="s">
        <v>116</v>
      </c>
      <c r="B43" s="47" t="s">
        <v>117</v>
      </c>
      <c r="C43" s="44" t="s">
        <v>118</v>
      </c>
      <c r="D43" s="44" t="s">
        <v>38</v>
      </c>
      <c r="E43" s="47" t="s">
        <v>483</v>
      </c>
      <c r="F43" s="44" t="s">
        <v>486</v>
      </c>
      <c r="G43" s="3" t="s">
        <v>119</v>
      </c>
      <c r="H43" s="3" t="s">
        <v>120</v>
      </c>
      <c r="I43" s="44" t="s">
        <v>100</v>
      </c>
      <c r="J43" s="44" t="s">
        <v>22</v>
      </c>
      <c r="K43" s="7"/>
    </row>
    <row r="44" spans="1:11" ht="51.5" thickBot="1">
      <c r="A44" s="48"/>
      <c r="B44" s="48"/>
      <c r="C44" s="45"/>
      <c r="D44" s="45"/>
      <c r="E44" s="48"/>
      <c r="F44" s="45"/>
      <c r="G44" s="3" t="s">
        <v>105</v>
      </c>
      <c r="H44" s="3" t="s">
        <v>106</v>
      </c>
      <c r="I44" s="45"/>
      <c r="J44" s="45"/>
      <c r="K44" s="9"/>
    </row>
    <row r="45" spans="1:11" ht="85.5" thickBot="1">
      <c r="A45" s="48"/>
      <c r="B45" s="48"/>
      <c r="C45" s="45"/>
      <c r="D45" s="45"/>
      <c r="E45" s="48"/>
      <c r="F45" s="45"/>
      <c r="G45" s="3" t="s">
        <v>121</v>
      </c>
      <c r="H45" s="3" t="s">
        <v>122</v>
      </c>
      <c r="I45" s="45"/>
      <c r="J45" s="45"/>
      <c r="K45" s="9"/>
    </row>
    <row r="46" spans="1:11" ht="17.5" thickBot="1">
      <c r="A46" s="48"/>
      <c r="B46" s="48"/>
      <c r="C46" s="45"/>
      <c r="D46" s="45"/>
      <c r="E46" s="48"/>
      <c r="F46" s="45"/>
      <c r="G46" s="3" t="s">
        <v>123</v>
      </c>
      <c r="H46" s="9"/>
      <c r="I46" s="45"/>
      <c r="J46" s="45"/>
      <c r="K46" s="9"/>
    </row>
    <row r="47" spans="1:11" ht="34.5" thickBot="1">
      <c r="A47" s="48"/>
      <c r="B47" s="48"/>
      <c r="C47" s="45"/>
      <c r="D47" s="45"/>
      <c r="E47" s="48"/>
      <c r="F47" s="45"/>
      <c r="G47" s="3" t="s">
        <v>107</v>
      </c>
      <c r="H47" s="3" t="s">
        <v>108</v>
      </c>
      <c r="I47" s="45"/>
      <c r="J47" s="45"/>
      <c r="K47" s="9"/>
    </row>
    <row r="48" spans="1:11" ht="17.5" thickBot="1">
      <c r="A48" s="48"/>
      <c r="B48" s="48"/>
      <c r="C48" s="45"/>
      <c r="D48" s="45"/>
      <c r="E48" s="48"/>
      <c r="F48" s="45"/>
      <c r="G48" s="3" t="s">
        <v>109</v>
      </c>
      <c r="H48" s="3" t="s">
        <v>110</v>
      </c>
      <c r="I48" s="45"/>
      <c r="J48" s="45"/>
      <c r="K48" s="9"/>
    </row>
    <row r="49" spans="1:11" ht="68.5" thickBot="1">
      <c r="A49" s="48"/>
      <c r="B49" s="48"/>
      <c r="C49" s="45"/>
      <c r="D49" s="45"/>
      <c r="E49" s="48"/>
      <c r="F49" s="45"/>
      <c r="G49" s="3" t="s">
        <v>111</v>
      </c>
      <c r="H49" s="3" t="s">
        <v>124</v>
      </c>
      <c r="I49" s="45"/>
      <c r="J49" s="45"/>
      <c r="K49" s="9"/>
    </row>
    <row r="50" spans="1:11" ht="17.5" thickBot="1">
      <c r="A50" s="49"/>
      <c r="B50" s="49"/>
      <c r="C50" s="46"/>
      <c r="D50" s="46"/>
      <c r="E50" s="49"/>
      <c r="F50" s="46"/>
      <c r="G50" s="3" t="s">
        <v>48</v>
      </c>
      <c r="H50" s="3" t="s">
        <v>115</v>
      </c>
      <c r="I50" s="46"/>
      <c r="J50" s="46"/>
      <c r="K50" s="9"/>
    </row>
    <row r="51" spans="1:11" ht="68.5" thickBot="1">
      <c r="A51" s="47" t="s">
        <v>125</v>
      </c>
      <c r="B51" s="47" t="s">
        <v>18</v>
      </c>
      <c r="C51" s="44" t="s">
        <v>126</v>
      </c>
      <c r="D51" s="44" t="s">
        <v>19</v>
      </c>
      <c r="E51" s="47" t="s">
        <v>434</v>
      </c>
      <c r="F51" s="44" t="s">
        <v>392</v>
      </c>
      <c r="G51" s="3" t="s">
        <v>127</v>
      </c>
      <c r="H51" s="3" t="s">
        <v>359</v>
      </c>
      <c r="I51" s="44" t="s">
        <v>21</v>
      </c>
      <c r="J51" s="8" t="s">
        <v>128</v>
      </c>
      <c r="K51" s="9"/>
    </row>
    <row r="52" spans="1:11" ht="85.5" thickBot="1">
      <c r="A52" s="49"/>
      <c r="B52" s="49"/>
      <c r="C52" s="46"/>
      <c r="D52" s="46"/>
      <c r="E52" s="49"/>
      <c r="F52" s="46"/>
      <c r="G52" s="3" t="s">
        <v>25</v>
      </c>
      <c r="H52" s="3" t="s">
        <v>26</v>
      </c>
      <c r="I52" s="46"/>
      <c r="J52" s="8" t="s">
        <v>128</v>
      </c>
      <c r="K52" s="9"/>
    </row>
    <row r="53" spans="1:11" ht="136.5" thickBot="1">
      <c r="A53" s="2" t="s">
        <v>129</v>
      </c>
      <c r="B53" s="8" t="s">
        <v>28</v>
      </c>
      <c r="C53" s="3" t="s">
        <v>130</v>
      </c>
      <c r="D53" s="3" t="s">
        <v>30</v>
      </c>
      <c r="E53" s="2" t="s">
        <v>441</v>
      </c>
      <c r="F53" s="3" t="s">
        <v>393</v>
      </c>
      <c r="G53" s="3" t="s">
        <v>131</v>
      </c>
      <c r="H53" s="3" t="s">
        <v>132</v>
      </c>
      <c r="I53" s="3" t="s">
        <v>33</v>
      </c>
      <c r="J53" s="8" t="s">
        <v>128</v>
      </c>
      <c r="K53" s="9"/>
    </row>
    <row r="54" spans="1:11" ht="102.5" thickBot="1">
      <c r="A54" s="47" t="s">
        <v>133</v>
      </c>
      <c r="B54" s="47" t="s">
        <v>134</v>
      </c>
      <c r="C54" s="44" t="s">
        <v>135</v>
      </c>
      <c r="D54" s="44" t="s">
        <v>38</v>
      </c>
      <c r="E54" s="47" t="s">
        <v>442</v>
      </c>
      <c r="F54" s="44" t="s">
        <v>393</v>
      </c>
      <c r="G54" s="3" t="s">
        <v>136</v>
      </c>
      <c r="H54" s="3" t="s">
        <v>137</v>
      </c>
      <c r="I54" s="44" t="s">
        <v>138</v>
      </c>
      <c r="J54" s="8" t="s">
        <v>128</v>
      </c>
      <c r="K54" s="9"/>
    </row>
    <row r="55" spans="1:11" ht="51.5" thickBot="1">
      <c r="A55" s="48"/>
      <c r="B55" s="48"/>
      <c r="C55" s="45"/>
      <c r="D55" s="45"/>
      <c r="E55" s="48"/>
      <c r="F55" s="45"/>
      <c r="G55" s="3" t="s">
        <v>139</v>
      </c>
      <c r="H55" s="3" t="s">
        <v>140</v>
      </c>
      <c r="I55" s="45"/>
      <c r="J55" s="7"/>
      <c r="K55" s="9"/>
    </row>
    <row r="56" spans="1:11" ht="17.5" thickBot="1">
      <c r="A56" s="49"/>
      <c r="B56" s="49"/>
      <c r="C56" s="46"/>
      <c r="D56" s="46"/>
      <c r="E56" s="49"/>
      <c r="F56" s="46"/>
      <c r="G56" s="3" t="s">
        <v>48</v>
      </c>
      <c r="H56" s="3" t="s">
        <v>141</v>
      </c>
      <c r="I56" s="46"/>
      <c r="J56" s="8" t="s">
        <v>128</v>
      </c>
      <c r="K56" s="9"/>
    </row>
    <row r="57" spans="1:11" ht="238.5" thickBot="1">
      <c r="A57" s="2" t="s">
        <v>142</v>
      </c>
      <c r="B57" s="8" t="s">
        <v>143</v>
      </c>
      <c r="C57" s="3" t="s">
        <v>144</v>
      </c>
      <c r="D57" s="3" t="s">
        <v>38</v>
      </c>
      <c r="E57" s="2" t="s">
        <v>443</v>
      </c>
      <c r="F57" s="3" t="s">
        <v>393</v>
      </c>
      <c r="G57" s="3" t="s">
        <v>145</v>
      </c>
      <c r="H57" s="3" t="s">
        <v>137</v>
      </c>
      <c r="I57" s="3" t="s">
        <v>138</v>
      </c>
      <c r="J57" s="8" t="s">
        <v>128</v>
      </c>
      <c r="K57" s="9"/>
    </row>
    <row r="58" spans="1:11" ht="85.5" thickBot="1">
      <c r="A58" s="47" t="s">
        <v>146</v>
      </c>
      <c r="B58" s="47" t="s">
        <v>95</v>
      </c>
      <c r="C58" s="44" t="s">
        <v>147</v>
      </c>
      <c r="D58" s="44" t="s">
        <v>97</v>
      </c>
      <c r="E58" s="47" t="s">
        <v>444</v>
      </c>
      <c r="F58" s="44" t="s">
        <v>393</v>
      </c>
      <c r="G58" s="3" t="s">
        <v>148</v>
      </c>
      <c r="H58" s="3" t="s">
        <v>149</v>
      </c>
      <c r="I58" s="44" t="s">
        <v>100</v>
      </c>
      <c r="J58" s="8" t="s">
        <v>128</v>
      </c>
      <c r="K58" s="9"/>
    </row>
    <row r="59" spans="1:11" ht="68.5" thickBot="1">
      <c r="A59" s="48"/>
      <c r="B59" s="48"/>
      <c r="C59" s="45"/>
      <c r="D59" s="45"/>
      <c r="E59" s="48"/>
      <c r="F59" s="45"/>
      <c r="G59" s="3" t="s">
        <v>150</v>
      </c>
      <c r="H59" s="3" t="s">
        <v>151</v>
      </c>
      <c r="I59" s="45"/>
      <c r="J59" s="8" t="s">
        <v>128</v>
      </c>
      <c r="K59" s="9"/>
    </row>
    <row r="60" spans="1:11" ht="17.5" thickBot="1">
      <c r="A60" s="48"/>
      <c r="B60" s="48"/>
      <c r="C60" s="45"/>
      <c r="D60" s="45"/>
      <c r="E60" s="48"/>
      <c r="F60" s="45"/>
      <c r="G60" s="3" t="s">
        <v>152</v>
      </c>
      <c r="H60" s="3" t="s">
        <v>108</v>
      </c>
      <c r="I60" s="45"/>
      <c r="J60" s="8" t="s">
        <v>128</v>
      </c>
      <c r="K60" s="9"/>
    </row>
    <row r="61" spans="1:11" ht="51.5" thickBot="1">
      <c r="A61" s="48"/>
      <c r="B61" s="48"/>
      <c r="C61" s="45"/>
      <c r="D61" s="45"/>
      <c r="E61" s="48"/>
      <c r="F61" s="45"/>
      <c r="G61" s="3" t="s">
        <v>153</v>
      </c>
      <c r="H61" s="3" t="s">
        <v>106</v>
      </c>
      <c r="I61" s="45"/>
      <c r="J61" s="8" t="s">
        <v>128</v>
      </c>
      <c r="K61" s="9"/>
    </row>
    <row r="62" spans="1:11" ht="17.5" thickBot="1">
      <c r="A62" s="48"/>
      <c r="B62" s="48"/>
      <c r="C62" s="45"/>
      <c r="D62" s="45"/>
      <c r="E62" s="48"/>
      <c r="F62" s="45"/>
      <c r="G62" s="3" t="s">
        <v>154</v>
      </c>
      <c r="H62" s="3" t="s">
        <v>155</v>
      </c>
      <c r="I62" s="45"/>
      <c r="J62" s="8" t="s">
        <v>128</v>
      </c>
      <c r="K62" s="9"/>
    </row>
    <row r="63" spans="1:11" ht="85.5" thickBot="1">
      <c r="A63" s="48"/>
      <c r="B63" s="48"/>
      <c r="C63" s="45"/>
      <c r="D63" s="45"/>
      <c r="E63" s="48"/>
      <c r="F63" s="45"/>
      <c r="G63" s="3" t="s">
        <v>156</v>
      </c>
      <c r="H63" s="3" t="s">
        <v>157</v>
      </c>
      <c r="I63" s="45"/>
      <c r="J63" s="8" t="s">
        <v>128</v>
      </c>
      <c r="K63" s="9"/>
    </row>
    <row r="64" spans="1:11" ht="17.5" thickBot="1">
      <c r="A64" s="49"/>
      <c r="B64" s="49"/>
      <c r="C64" s="46"/>
      <c r="D64" s="46"/>
      <c r="E64" s="49"/>
      <c r="F64" s="46"/>
      <c r="G64" s="3" t="s">
        <v>48</v>
      </c>
      <c r="H64" s="3" t="s">
        <v>141</v>
      </c>
      <c r="I64" s="46"/>
      <c r="J64" s="8" t="s">
        <v>128</v>
      </c>
      <c r="K64" s="9"/>
    </row>
    <row r="65" spans="1:11" ht="17.5" thickBot="1">
      <c r="A65" s="47" t="s">
        <v>158</v>
      </c>
      <c r="B65" s="47" t="s">
        <v>117</v>
      </c>
      <c r="C65" s="44" t="s">
        <v>118</v>
      </c>
      <c r="D65" s="44" t="s">
        <v>38</v>
      </c>
      <c r="E65" s="47" t="s">
        <v>445</v>
      </c>
      <c r="F65" s="44" t="s">
        <v>393</v>
      </c>
      <c r="G65" s="3" t="s">
        <v>159</v>
      </c>
      <c r="H65" s="3" t="s">
        <v>160</v>
      </c>
      <c r="I65" s="44" t="s">
        <v>100</v>
      </c>
      <c r="J65" s="8" t="s">
        <v>128</v>
      </c>
      <c r="K65" s="9"/>
    </row>
    <row r="66" spans="1:11" ht="85.5" thickBot="1">
      <c r="A66" s="48"/>
      <c r="B66" s="48"/>
      <c r="C66" s="45"/>
      <c r="D66" s="45"/>
      <c r="E66" s="48"/>
      <c r="F66" s="45"/>
      <c r="G66" s="3" t="s">
        <v>161</v>
      </c>
      <c r="H66" s="3" t="s">
        <v>149</v>
      </c>
      <c r="I66" s="45"/>
      <c r="J66" s="8" t="s">
        <v>128</v>
      </c>
      <c r="K66" s="9"/>
    </row>
    <row r="67" spans="1:11" ht="102.5" thickBot="1">
      <c r="A67" s="48"/>
      <c r="B67" s="48"/>
      <c r="C67" s="45"/>
      <c r="D67" s="45"/>
      <c r="E67" s="48"/>
      <c r="F67" s="45"/>
      <c r="G67" s="3" t="s">
        <v>162</v>
      </c>
      <c r="H67" s="3" t="s">
        <v>157</v>
      </c>
      <c r="I67" s="45"/>
      <c r="J67" s="8" t="s">
        <v>128</v>
      </c>
      <c r="K67" s="9"/>
    </row>
    <row r="68" spans="1:11" ht="17.5" thickBot="1">
      <c r="A68" s="49"/>
      <c r="B68" s="49"/>
      <c r="C68" s="46"/>
      <c r="D68" s="46"/>
      <c r="E68" s="49"/>
      <c r="F68" s="46"/>
      <c r="G68" s="3" t="s">
        <v>48</v>
      </c>
      <c r="H68" s="3" t="s">
        <v>141</v>
      </c>
      <c r="I68" s="46"/>
      <c r="J68" s="8" t="s">
        <v>128</v>
      </c>
      <c r="K68" s="9"/>
    </row>
    <row r="69" spans="1:11" ht="85.5" thickBot="1">
      <c r="A69" s="47" t="s">
        <v>163</v>
      </c>
      <c r="B69" s="47" t="s">
        <v>18</v>
      </c>
      <c r="C69" s="44" t="s">
        <v>164</v>
      </c>
      <c r="D69" s="44" t="s">
        <v>19</v>
      </c>
      <c r="E69" s="47" t="s">
        <v>456</v>
      </c>
      <c r="F69" s="44" t="s">
        <v>390</v>
      </c>
      <c r="G69" s="3" t="s">
        <v>165</v>
      </c>
      <c r="H69" s="3" t="s">
        <v>359</v>
      </c>
      <c r="I69" s="44" t="s">
        <v>21</v>
      </c>
      <c r="J69" s="8" t="s">
        <v>128</v>
      </c>
      <c r="K69" s="55"/>
    </row>
    <row r="70" spans="1:11" ht="85.5" thickBot="1">
      <c r="A70" s="49"/>
      <c r="B70" s="49"/>
      <c r="C70" s="46"/>
      <c r="D70" s="46"/>
      <c r="E70" s="49"/>
      <c r="F70" s="46"/>
      <c r="G70" s="3" t="s">
        <v>25</v>
      </c>
      <c r="H70" s="3" t="s">
        <v>26</v>
      </c>
      <c r="I70" s="46"/>
      <c r="J70" s="8" t="s">
        <v>128</v>
      </c>
      <c r="K70" s="56"/>
    </row>
    <row r="71" spans="1:11" ht="119.5" thickBot="1">
      <c r="A71" s="2" t="s">
        <v>166</v>
      </c>
      <c r="B71" s="8" t="s">
        <v>28</v>
      </c>
      <c r="C71" s="3" t="s">
        <v>167</v>
      </c>
      <c r="D71" s="3" t="s">
        <v>168</v>
      </c>
      <c r="E71" s="2" t="s">
        <v>446</v>
      </c>
      <c r="F71" s="3" t="s">
        <v>391</v>
      </c>
      <c r="G71" s="3" t="s">
        <v>169</v>
      </c>
      <c r="H71" s="3" t="s">
        <v>170</v>
      </c>
      <c r="I71" s="3" t="s">
        <v>33</v>
      </c>
      <c r="J71" s="8" t="s">
        <v>128</v>
      </c>
      <c r="K71" s="9"/>
    </row>
    <row r="72" spans="1:11" ht="136.5" thickBot="1">
      <c r="A72" s="47" t="s">
        <v>171</v>
      </c>
      <c r="B72" s="47" t="s">
        <v>36</v>
      </c>
      <c r="C72" s="44" t="s">
        <v>172</v>
      </c>
      <c r="D72" s="44" t="s">
        <v>38</v>
      </c>
      <c r="E72" s="47" t="s">
        <v>447</v>
      </c>
      <c r="F72" s="44" t="s">
        <v>173</v>
      </c>
      <c r="G72" s="3" t="s">
        <v>174</v>
      </c>
      <c r="H72" s="3" t="s">
        <v>175</v>
      </c>
      <c r="I72" s="44" t="s">
        <v>41</v>
      </c>
      <c r="J72" s="8" t="s">
        <v>128</v>
      </c>
      <c r="K72" s="9"/>
    </row>
    <row r="73" spans="1:11" ht="34.5" thickBot="1">
      <c r="A73" s="49"/>
      <c r="B73" s="49"/>
      <c r="C73" s="46"/>
      <c r="D73" s="46"/>
      <c r="E73" s="49"/>
      <c r="F73" s="46"/>
      <c r="G73" s="3" t="s">
        <v>176</v>
      </c>
      <c r="H73" s="3" t="s">
        <v>177</v>
      </c>
      <c r="I73" s="46"/>
      <c r="J73" s="8" t="s">
        <v>128</v>
      </c>
      <c r="K73" s="9"/>
    </row>
    <row r="74" spans="1:11" ht="119.5" thickBot="1">
      <c r="A74" s="47" t="s">
        <v>178</v>
      </c>
      <c r="B74" s="47" t="s">
        <v>51</v>
      </c>
      <c r="C74" s="44" t="s">
        <v>179</v>
      </c>
      <c r="D74" s="44" t="s">
        <v>38</v>
      </c>
      <c r="E74" s="47" t="s">
        <v>448</v>
      </c>
      <c r="F74" s="44" t="s">
        <v>173</v>
      </c>
      <c r="G74" s="3" t="s">
        <v>180</v>
      </c>
      <c r="H74" s="3" t="s">
        <v>175</v>
      </c>
      <c r="I74" s="44" t="s">
        <v>41</v>
      </c>
      <c r="J74" s="8" t="s">
        <v>128</v>
      </c>
      <c r="K74" s="9"/>
    </row>
    <row r="75" spans="1:11" ht="34.5" thickBot="1">
      <c r="A75" s="49"/>
      <c r="B75" s="49"/>
      <c r="C75" s="46"/>
      <c r="D75" s="46"/>
      <c r="E75" s="49"/>
      <c r="F75" s="46"/>
      <c r="G75" s="3" t="s">
        <v>176</v>
      </c>
      <c r="H75" s="3" t="s">
        <v>177</v>
      </c>
      <c r="I75" s="46"/>
      <c r="J75" s="8" t="s">
        <v>128</v>
      </c>
      <c r="K75" s="9"/>
    </row>
    <row r="76" spans="1:11" ht="102.5" thickBot="1">
      <c r="A76" s="2" t="s">
        <v>181</v>
      </c>
      <c r="B76" s="8" t="s">
        <v>57</v>
      </c>
      <c r="C76" s="3" t="s">
        <v>182</v>
      </c>
      <c r="D76" s="3" t="s">
        <v>59</v>
      </c>
      <c r="E76" s="2" t="s">
        <v>449</v>
      </c>
      <c r="F76" s="3" t="s">
        <v>173</v>
      </c>
      <c r="G76" s="3" t="s">
        <v>183</v>
      </c>
      <c r="H76" s="3" t="s">
        <v>184</v>
      </c>
      <c r="I76" s="3" t="s">
        <v>62</v>
      </c>
      <c r="J76" s="8" t="s">
        <v>128</v>
      </c>
      <c r="K76" s="9"/>
    </row>
    <row r="77" spans="1:11" ht="102.5" thickBot="1">
      <c r="A77" s="2" t="s">
        <v>185</v>
      </c>
      <c r="B77" s="8" t="s">
        <v>67</v>
      </c>
      <c r="C77" s="3" t="s">
        <v>182</v>
      </c>
      <c r="D77" s="3" t="s">
        <v>59</v>
      </c>
      <c r="E77" s="2" t="s">
        <v>450</v>
      </c>
      <c r="F77" s="3" t="s">
        <v>173</v>
      </c>
      <c r="G77" s="3" t="s">
        <v>186</v>
      </c>
      <c r="H77" s="3" t="s">
        <v>187</v>
      </c>
      <c r="I77" s="3" t="s">
        <v>62</v>
      </c>
      <c r="J77" s="8" t="s">
        <v>128</v>
      </c>
      <c r="K77" s="9"/>
    </row>
    <row r="78" spans="1:11" ht="102.5" thickBot="1">
      <c r="A78" s="2" t="s">
        <v>188</v>
      </c>
      <c r="B78" s="8" t="s">
        <v>73</v>
      </c>
      <c r="C78" s="3" t="s">
        <v>182</v>
      </c>
      <c r="D78" s="3" t="s">
        <v>59</v>
      </c>
      <c r="E78" s="2" t="s">
        <v>451</v>
      </c>
      <c r="F78" s="3" t="s">
        <v>173</v>
      </c>
      <c r="G78" s="3" t="s">
        <v>189</v>
      </c>
      <c r="H78" s="3" t="s">
        <v>190</v>
      </c>
      <c r="I78" s="3" t="s">
        <v>77</v>
      </c>
      <c r="J78" s="8" t="s">
        <v>128</v>
      </c>
      <c r="K78" s="9"/>
    </row>
    <row r="79" spans="1:11" ht="102.5" thickBot="1">
      <c r="A79" s="2" t="s">
        <v>191</v>
      </c>
      <c r="B79" s="8" t="s">
        <v>79</v>
      </c>
      <c r="C79" s="3" t="s">
        <v>182</v>
      </c>
      <c r="D79" s="3" t="s">
        <v>59</v>
      </c>
      <c r="E79" s="2" t="s">
        <v>452</v>
      </c>
      <c r="F79" s="3" t="s">
        <v>173</v>
      </c>
      <c r="G79" s="3" t="s">
        <v>192</v>
      </c>
      <c r="H79" s="3" t="s">
        <v>193</v>
      </c>
      <c r="I79" s="3" t="s">
        <v>83</v>
      </c>
      <c r="J79" s="8" t="s">
        <v>128</v>
      </c>
      <c r="K79" s="9"/>
    </row>
    <row r="80" spans="1:11" ht="68.5" thickBot="1">
      <c r="A80" s="47" t="s">
        <v>194</v>
      </c>
      <c r="B80" s="47" t="s">
        <v>195</v>
      </c>
      <c r="C80" s="44" t="s">
        <v>196</v>
      </c>
      <c r="D80" s="44" t="s">
        <v>197</v>
      </c>
      <c r="E80" s="47" t="s">
        <v>453</v>
      </c>
      <c r="F80" s="44" t="s">
        <v>173</v>
      </c>
      <c r="G80" s="3" t="s">
        <v>198</v>
      </c>
      <c r="H80" s="3" t="s">
        <v>199</v>
      </c>
      <c r="I80" s="7"/>
      <c r="J80" s="8" t="s">
        <v>128</v>
      </c>
      <c r="K80" s="9"/>
    </row>
    <row r="81" spans="1:11" ht="68.5" thickBot="1">
      <c r="A81" s="48"/>
      <c r="B81" s="48"/>
      <c r="C81" s="45"/>
      <c r="D81" s="45"/>
      <c r="E81" s="48"/>
      <c r="F81" s="45"/>
      <c r="G81" s="3" t="s">
        <v>200</v>
      </c>
      <c r="H81" s="3" t="s">
        <v>201</v>
      </c>
      <c r="I81" s="44" t="s">
        <v>202</v>
      </c>
      <c r="J81" s="8" t="s">
        <v>128</v>
      </c>
      <c r="K81" s="9"/>
    </row>
    <row r="82" spans="1:11" ht="68.5" thickBot="1">
      <c r="A82" s="49"/>
      <c r="B82" s="49"/>
      <c r="C82" s="46"/>
      <c r="D82" s="46"/>
      <c r="E82" s="49"/>
      <c r="F82" s="46"/>
      <c r="G82" s="3" t="s">
        <v>203</v>
      </c>
      <c r="H82" s="3" t="s">
        <v>199</v>
      </c>
      <c r="I82" s="46"/>
      <c r="J82" s="8" t="s">
        <v>128</v>
      </c>
      <c r="K82" s="9"/>
    </row>
    <row r="83" spans="1:11" ht="51.5" thickBot="1">
      <c r="A83" s="47" t="s">
        <v>204</v>
      </c>
      <c r="B83" s="47" t="s">
        <v>95</v>
      </c>
      <c r="C83" s="44" t="s">
        <v>205</v>
      </c>
      <c r="D83" s="44" t="s">
        <v>97</v>
      </c>
      <c r="E83" s="47" t="s">
        <v>454</v>
      </c>
      <c r="F83" s="44" t="s">
        <v>173</v>
      </c>
      <c r="G83" s="3" t="s">
        <v>150</v>
      </c>
      <c r="H83" s="3" t="s">
        <v>206</v>
      </c>
      <c r="I83" s="44" t="s">
        <v>100</v>
      </c>
      <c r="J83" s="8" t="s">
        <v>128</v>
      </c>
      <c r="K83" s="9"/>
    </row>
    <row r="84" spans="1:11" ht="68.5" thickBot="1">
      <c r="A84" s="48"/>
      <c r="B84" s="48"/>
      <c r="C84" s="45"/>
      <c r="D84" s="45"/>
      <c r="E84" s="48"/>
      <c r="F84" s="45"/>
      <c r="G84" s="3" t="s">
        <v>207</v>
      </c>
      <c r="H84" s="3" t="s">
        <v>208</v>
      </c>
      <c r="I84" s="45"/>
      <c r="J84" s="8" t="s">
        <v>128</v>
      </c>
      <c r="K84" s="9"/>
    </row>
    <row r="85" spans="1:11" ht="51.5" thickBot="1">
      <c r="A85" s="48"/>
      <c r="B85" s="48"/>
      <c r="C85" s="45"/>
      <c r="D85" s="45"/>
      <c r="E85" s="48"/>
      <c r="F85" s="45"/>
      <c r="G85" s="3" t="s">
        <v>209</v>
      </c>
      <c r="H85" s="3" t="s">
        <v>175</v>
      </c>
      <c r="I85" s="45"/>
      <c r="J85" s="8" t="s">
        <v>128</v>
      </c>
      <c r="K85" s="9"/>
    </row>
    <row r="86" spans="1:11" ht="34.5" thickBot="1">
      <c r="A86" s="49"/>
      <c r="B86" s="49"/>
      <c r="C86" s="46"/>
      <c r="D86" s="46"/>
      <c r="E86" s="49"/>
      <c r="F86" s="46"/>
      <c r="G86" s="3" t="s">
        <v>176</v>
      </c>
      <c r="H86" s="3" t="s">
        <v>177</v>
      </c>
      <c r="I86" s="46"/>
      <c r="J86" s="8" t="s">
        <v>128</v>
      </c>
      <c r="K86" s="9"/>
    </row>
    <row r="87" spans="1:11" ht="68.5" thickBot="1">
      <c r="A87" s="47" t="s">
        <v>210</v>
      </c>
      <c r="B87" s="47" t="s">
        <v>117</v>
      </c>
      <c r="C87" s="44" t="s">
        <v>118</v>
      </c>
      <c r="D87" s="44" t="s">
        <v>38</v>
      </c>
      <c r="E87" s="47" t="s">
        <v>455</v>
      </c>
      <c r="F87" s="44" t="s">
        <v>173</v>
      </c>
      <c r="G87" s="3" t="s">
        <v>153</v>
      </c>
      <c r="H87" s="3" t="s">
        <v>199</v>
      </c>
      <c r="I87" s="44" t="s">
        <v>100</v>
      </c>
      <c r="J87" s="8" t="s">
        <v>128</v>
      </c>
      <c r="K87" s="9"/>
    </row>
    <row r="88" spans="1:11" ht="85.5" thickBot="1">
      <c r="A88" s="48"/>
      <c r="B88" s="48"/>
      <c r="C88" s="45"/>
      <c r="D88" s="45"/>
      <c r="E88" s="48"/>
      <c r="F88" s="45"/>
      <c r="G88" s="3" t="s">
        <v>121</v>
      </c>
      <c r="H88" s="3" t="s">
        <v>170</v>
      </c>
      <c r="I88" s="45"/>
      <c r="J88" s="8" t="s">
        <v>128</v>
      </c>
      <c r="K88" s="9"/>
    </row>
    <row r="89" spans="1:11" ht="119.5" thickBot="1">
      <c r="A89" s="48"/>
      <c r="B89" s="48"/>
      <c r="C89" s="45"/>
      <c r="D89" s="45"/>
      <c r="E89" s="48"/>
      <c r="F89" s="45"/>
      <c r="G89" s="3" t="s">
        <v>180</v>
      </c>
      <c r="H89" s="3" t="s">
        <v>175</v>
      </c>
      <c r="I89" s="45"/>
      <c r="J89" s="8" t="s">
        <v>128</v>
      </c>
      <c r="K89" s="55"/>
    </row>
    <row r="90" spans="1:11" ht="34.5" thickBot="1">
      <c r="A90" s="49"/>
      <c r="B90" s="49"/>
      <c r="C90" s="46"/>
      <c r="D90" s="46"/>
      <c r="E90" s="49"/>
      <c r="F90" s="46"/>
      <c r="G90" s="3" t="s">
        <v>176</v>
      </c>
      <c r="H90" s="3" t="s">
        <v>177</v>
      </c>
      <c r="I90" s="46"/>
      <c r="J90" s="8" t="s">
        <v>128</v>
      </c>
      <c r="K90" s="56"/>
    </row>
    <row r="91" spans="1:11" ht="51.5" thickBot="1">
      <c r="A91" s="47" t="s">
        <v>211</v>
      </c>
      <c r="B91" s="47" t="s">
        <v>18</v>
      </c>
      <c r="C91" s="44" t="s">
        <v>212</v>
      </c>
      <c r="D91" s="44" t="s">
        <v>213</v>
      </c>
      <c r="E91" s="47" t="s">
        <v>432</v>
      </c>
      <c r="F91" s="57" t="s">
        <v>425</v>
      </c>
      <c r="G91" s="10" t="s">
        <v>215</v>
      </c>
      <c r="H91" s="3" t="s">
        <v>359</v>
      </c>
      <c r="I91" s="44" t="s">
        <v>216</v>
      </c>
      <c r="J91" s="8" t="s">
        <v>128</v>
      </c>
      <c r="K91" s="11" t="s">
        <v>217</v>
      </c>
    </row>
    <row r="92" spans="1:11" ht="68.5" thickBot="1">
      <c r="A92" s="49"/>
      <c r="B92" s="49"/>
      <c r="C92" s="46"/>
      <c r="D92" s="46"/>
      <c r="E92" s="49"/>
      <c r="F92" s="46"/>
      <c r="G92" s="10" t="s">
        <v>218</v>
      </c>
      <c r="H92" s="3" t="s">
        <v>199</v>
      </c>
      <c r="I92" s="46"/>
      <c r="J92" s="8" t="s">
        <v>128</v>
      </c>
      <c r="K92" s="9"/>
    </row>
    <row r="93" spans="1:11" ht="68.5" thickBot="1">
      <c r="A93" s="47" t="s">
        <v>219</v>
      </c>
      <c r="B93" s="47" t="s">
        <v>195</v>
      </c>
      <c r="C93" s="44" t="s">
        <v>220</v>
      </c>
      <c r="D93" s="44" t="s">
        <v>197</v>
      </c>
      <c r="E93" s="47" t="s">
        <v>433</v>
      </c>
      <c r="F93" s="44" t="s">
        <v>214</v>
      </c>
      <c r="G93" s="3" t="s">
        <v>221</v>
      </c>
      <c r="H93" s="3" t="s">
        <v>222</v>
      </c>
      <c r="I93" s="44" t="s">
        <v>202</v>
      </c>
      <c r="J93" s="8" t="s">
        <v>128</v>
      </c>
      <c r="K93" s="9"/>
    </row>
    <row r="94" spans="1:11" ht="68.5" thickBot="1">
      <c r="A94" s="48"/>
      <c r="B94" s="48"/>
      <c r="C94" s="45"/>
      <c r="D94" s="45"/>
      <c r="E94" s="48"/>
      <c r="F94" s="45"/>
      <c r="G94" s="3" t="s">
        <v>223</v>
      </c>
      <c r="H94" s="3" t="s">
        <v>201</v>
      </c>
      <c r="I94" s="45"/>
      <c r="J94" s="8" t="s">
        <v>128</v>
      </c>
      <c r="K94" s="9"/>
    </row>
    <row r="95" spans="1:11" ht="68.5" thickBot="1">
      <c r="A95" s="49"/>
      <c r="B95" s="49"/>
      <c r="C95" s="46"/>
      <c r="D95" s="46"/>
      <c r="E95" s="49"/>
      <c r="F95" s="46"/>
      <c r="G95" s="3" t="s">
        <v>224</v>
      </c>
      <c r="H95" s="3" t="s">
        <v>222</v>
      </c>
      <c r="I95" s="46"/>
      <c r="J95" s="8" t="s">
        <v>128</v>
      </c>
      <c r="K95" s="9"/>
    </row>
    <row r="96" spans="1:11" ht="102.5" thickBot="1">
      <c r="A96" s="2" t="s">
        <v>225</v>
      </c>
      <c r="B96" s="8" t="s">
        <v>226</v>
      </c>
      <c r="C96" s="3" t="s">
        <v>227</v>
      </c>
      <c r="D96" s="3" t="s">
        <v>228</v>
      </c>
      <c r="E96" s="2" t="s">
        <v>457</v>
      </c>
      <c r="F96" s="3" t="s">
        <v>229</v>
      </c>
      <c r="G96" s="3" t="s">
        <v>230</v>
      </c>
      <c r="H96" s="3" t="s">
        <v>231</v>
      </c>
      <c r="I96" s="3" t="s">
        <v>232</v>
      </c>
      <c r="J96" s="8" t="s">
        <v>128</v>
      </c>
      <c r="K96" s="9"/>
    </row>
    <row r="97" spans="1:11" ht="102.5" thickBot="1">
      <c r="A97" s="2" t="s">
        <v>233</v>
      </c>
      <c r="B97" s="8" t="s">
        <v>234</v>
      </c>
      <c r="C97" s="3" t="s">
        <v>235</v>
      </c>
      <c r="D97" s="3" t="s">
        <v>236</v>
      </c>
      <c r="E97" s="2" t="s">
        <v>458</v>
      </c>
      <c r="F97" s="3" t="s">
        <v>237</v>
      </c>
      <c r="G97" s="3" t="s">
        <v>238</v>
      </c>
      <c r="H97" s="3" t="s">
        <v>239</v>
      </c>
      <c r="I97" s="3" t="s">
        <v>232</v>
      </c>
      <c r="J97" s="8" t="s">
        <v>128</v>
      </c>
      <c r="K97" s="9"/>
    </row>
    <row r="98" spans="1:11" ht="102.5" thickBot="1">
      <c r="A98" s="2" t="s">
        <v>240</v>
      </c>
      <c r="B98" s="8" t="s">
        <v>241</v>
      </c>
      <c r="C98" s="3" t="s">
        <v>242</v>
      </c>
      <c r="D98" s="3" t="s">
        <v>228</v>
      </c>
      <c r="E98" s="2" t="s">
        <v>426</v>
      </c>
      <c r="F98" s="3" t="s">
        <v>243</v>
      </c>
      <c r="G98" s="3" t="s">
        <v>244</v>
      </c>
      <c r="H98" s="3" t="s">
        <v>245</v>
      </c>
      <c r="I98" s="3" t="s">
        <v>246</v>
      </c>
      <c r="J98" s="8" t="s">
        <v>128</v>
      </c>
      <c r="K98" s="9"/>
    </row>
    <row r="99" spans="1:11" ht="187.5" thickBot="1">
      <c r="A99" s="47" t="s">
        <v>247</v>
      </c>
      <c r="B99" s="47" t="s">
        <v>248</v>
      </c>
      <c r="C99" s="44" t="s">
        <v>249</v>
      </c>
      <c r="D99" s="44" t="s">
        <v>250</v>
      </c>
      <c r="E99" s="47" t="s">
        <v>459</v>
      </c>
      <c r="F99" s="44" t="s">
        <v>251</v>
      </c>
      <c r="G99" s="3" t="s">
        <v>252</v>
      </c>
      <c r="H99" s="3" t="s">
        <v>253</v>
      </c>
      <c r="I99" s="3" t="s">
        <v>254</v>
      </c>
      <c r="J99" s="8" t="s">
        <v>128</v>
      </c>
      <c r="K99" s="9"/>
    </row>
    <row r="100" spans="1:11" ht="119.5" thickBot="1">
      <c r="A100" s="48"/>
      <c r="B100" s="48"/>
      <c r="C100" s="45"/>
      <c r="D100" s="45"/>
      <c r="E100" s="48" t="s">
        <v>460</v>
      </c>
      <c r="F100" s="45"/>
      <c r="G100" s="3" t="s">
        <v>255</v>
      </c>
      <c r="H100" s="3" t="s">
        <v>256</v>
      </c>
      <c r="I100" s="44" t="s">
        <v>257</v>
      </c>
      <c r="J100" s="8" t="s">
        <v>128</v>
      </c>
      <c r="K100" s="9"/>
    </row>
    <row r="101" spans="1:11" ht="68.5" thickBot="1">
      <c r="A101" s="48"/>
      <c r="B101" s="48"/>
      <c r="C101" s="45"/>
      <c r="D101" s="45"/>
      <c r="E101" s="48" t="s">
        <v>460</v>
      </c>
      <c r="F101" s="45"/>
      <c r="G101" s="3" t="s">
        <v>258</v>
      </c>
      <c r="H101" s="3" t="s">
        <v>259</v>
      </c>
      <c r="I101" s="45"/>
      <c r="J101" s="8" t="s">
        <v>128</v>
      </c>
      <c r="K101" s="9"/>
    </row>
    <row r="102" spans="1:11" ht="17.5" thickBot="1">
      <c r="A102" s="48"/>
      <c r="B102" s="48"/>
      <c r="C102" s="45"/>
      <c r="D102" s="45"/>
      <c r="E102" s="48" t="s">
        <v>460</v>
      </c>
      <c r="F102" s="45"/>
      <c r="G102" s="3" t="s">
        <v>48</v>
      </c>
      <c r="H102" s="3" t="s">
        <v>260</v>
      </c>
      <c r="I102" s="45"/>
      <c r="J102" s="8" t="s">
        <v>128</v>
      </c>
      <c r="K102" s="9"/>
    </row>
    <row r="103" spans="1:11" ht="85.5" thickBot="1">
      <c r="A103" s="48"/>
      <c r="B103" s="48"/>
      <c r="C103" s="45"/>
      <c r="D103" s="45"/>
      <c r="E103" s="48" t="s">
        <v>460</v>
      </c>
      <c r="F103" s="45"/>
      <c r="G103" s="3" t="s">
        <v>261</v>
      </c>
      <c r="H103" s="3" t="s">
        <v>262</v>
      </c>
      <c r="I103" s="45"/>
      <c r="J103" s="8" t="s">
        <v>128</v>
      </c>
      <c r="K103" s="9"/>
    </row>
    <row r="104" spans="1:11" ht="17.5" thickBot="1">
      <c r="A104" s="48"/>
      <c r="B104" s="48"/>
      <c r="C104" s="45"/>
      <c r="D104" s="45"/>
      <c r="E104" s="48" t="s">
        <v>460</v>
      </c>
      <c r="F104" s="45"/>
      <c r="G104" s="3" t="s">
        <v>48</v>
      </c>
      <c r="H104" s="3" t="s">
        <v>263</v>
      </c>
      <c r="I104" s="45"/>
      <c r="J104" s="8" t="s">
        <v>128</v>
      </c>
      <c r="K104" s="9"/>
    </row>
    <row r="105" spans="1:11" ht="136.5" thickBot="1">
      <c r="A105" s="48"/>
      <c r="B105" s="48"/>
      <c r="C105" s="45"/>
      <c r="D105" s="45"/>
      <c r="E105" s="48" t="s">
        <v>460</v>
      </c>
      <c r="F105" s="45"/>
      <c r="G105" s="3" t="s">
        <v>264</v>
      </c>
      <c r="H105" s="3" t="s">
        <v>265</v>
      </c>
      <c r="I105" s="45"/>
      <c r="J105" s="8" t="s">
        <v>128</v>
      </c>
      <c r="K105" s="9"/>
    </row>
    <row r="106" spans="1:11" ht="34.5" thickBot="1">
      <c r="A106" s="49"/>
      <c r="B106" s="49"/>
      <c r="C106" s="46"/>
      <c r="D106" s="46"/>
      <c r="E106" s="49" t="s">
        <v>460</v>
      </c>
      <c r="F106" s="46"/>
      <c r="G106" s="3" t="s">
        <v>176</v>
      </c>
      <c r="H106" s="3" t="s">
        <v>266</v>
      </c>
      <c r="I106" s="46"/>
      <c r="J106" s="8" t="s">
        <v>128</v>
      </c>
      <c r="K106" s="9"/>
    </row>
    <row r="107" spans="1:11" ht="68.5" thickBot="1">
      <c r="A107" s="2" t="s">
        <v>267</v>
      </c>
      <c r="B107" s="8" t="s">
        <v>268</v>
      </c>
      <c r="C107" s="3" t="s">
        <v>269</v>
      </c>
      <c r="D107" s="3" t="s">
        <v>270</v>
      </c>
      <c r="E107" s="2" t="s">
        <v>461</v>
      </c>
      <c r="F107" s="3" t="s">
        <v>271</v>
      </c>
      <c r="G107" s="3" t="s">
        <v>7</v>
      </c>
      <c r="H107" s="3" t="s">
        <v>7</v>
      </c>
      <c r="I107" s="3" t="s">
        <v>272</v>
      </c>
      <c r="J107" s="8" t="s">
        <v>128</v>
      </c>
      <c r="K107" s="9"/>
    </row>
    <row r="108" spans="1:11" ht="102.5" thickBot="1">
      <c r="A108" s="2" t="s">
        <v>273</v>
      </c>
      <c r="B108" s="8" t="s">
        <v>274</v>
      </c>
      <c r="C108" s="3" t="s">
        <v>275</v>
      </c>
      <c r="D108" s="3" t="s">
        <v>276</v>
      </c>
      <c r="E108" s="2" t="s">
        <v>462</v>
      </c>
      <c r="F108" s="3" t="s">
        <v>277</v>
      </c>
      <c r="G108" s="3" t="s">
        <v>278</v>
      </c>
      <c r="H108" s="3" t="s">
        <v>279</v>
      </c>
      <c r="I108" s="3" t="s">
        <v>280</v>
      </c>
      <c r="J108" s="8" t="s">
        <v>128</v>
      </c>
      <c r="K108" s="7"/>
    </row>
    <row r="109" spans="1:11" ht="17.5" thickBot="1">
      <c r="A109" s="47" t="s">
        <v>281</v>
      </c>
      <c r="B109" s="47" t="s">
        <v>282</v>
      </c>
      <c r="C109" s="44" t="s">
        <v>283</v>
      </c>
      <c r="D109" s="44" t="s">
        <v>284</v>
      </c>
      <c r="E109" s="47" t="s">
        <v>463</v>
      </c>
      <c r="F109" s="44" t="s">
        <v>277</v>
      </c>
      <c r="G109" s="3" t="s">
        <v>278</v>
      </c>
      <c r="H109" s="3" t="s">
        <v>279</v>
      </c>
      <c r="I109" s="58"/>
      <c r="J109" s="8" t="s">
        <v>128</v>
      </c>
      <c r="K109" s="7"/>
    </row>
    <row r="110" spans="1:11" ht="17.5" thickBot="1">
      <c r="A110" s="48"/>
      <c r="B110" s="48"/>
      <c r="C110" s="45"/>
      <c r="D110" s="45"/>
      <c r="E110" s="48" t="s">
        <v>460</v>
      </c>
      <c r="F110" s="45"/>
      <c r="G110" s="3" t="s">
        <v>285</v>
      </c>
      <c r="H110" s="3" t="s">
        <v>286</v>
      </c>
      <c r="I110" s="59"/>
      <c r="J110" s="8" t="s">
        <v>128</v>
      </c>
      <c r="K110" s="7"/>
    </row>
    <row r="111" spans="1:11" ht="17.5" thickBot="1">
      <c r="A111" s="48"/>
      <c r="B111" s="48"/>
      <c r="C111" s="45"/>
      <c r="D111" s="45"/>
      <c r="E111" s="48" t="s">
        <v>460</v>
      </c>
      <c r="F111" s="45"/>
      <c r="G111" s="3" t="s">
        <v>287</v>
      </c>
      <c r="H111" s="3" t="s">
        <v>288</v>
      </c>
      <c r="I111" s="59"/>
      <c r="J111" s="8" t="s">
        <v>128</v>
      </c>
      <c r="K111" s="7"/>
    </row>
    <row r="112" spans="1:11" ht="17.5" thickBot="1">
      <c r="A112" s="48"/>
      <c r="B112" s="48"/>
      <c r="C112" s="45"/>
      <c r="D112" s="45"/>
      <c r="E112" s="48" t="s">
        <v>460</v>
      </c>
      <c r="F112" s="45"/>
      <c r="G112" s="3" t="s">
        <v>278</v>
      </c>
      <c r="H112" s="3" t="s">
        <v>279</v>
      </c>
      <c r="I112" s="59"/>
      <c r="J112" s="8" t="s">
        <v>128</v>
      </c>
      <c r="K112" s="7"/>
    </row>
    <row r="113" spans="1:11" ht="68.5" thickBot="1">
      <c r="A113" s="48"/>
      <c r="B113" s="48"/>
      <c r="C113" s="45"/>
      <c r="D113" s="45"/>
      <c r="E113" s="48" t="str">
        <f t="shared" ref="E113:E115" si="0">_xlfn.CONCAT("TC-",A113)</f>
        <v>TC-</v>
      </c>
      <c r="F113" s="45"/>
      <c r="G113" s="3" t="s">
        <v>150</v>
      </c>
      <c r="H113" s="3" t="s">
        <v>289</v>
      </c>
      <c r="I113" s="59"/>
      <c r="J113" s="8" t="s">
        <v>128</v>
      </c>
      <c r="K113" s="7"/>
    </row>
    <row r="114" spans="1:11" ht="68.5" thickBot="1">
      <c r="A114" s="48"/>
      <c r="B114" s="48"/>
      <c r="C114" s="45"/>
      <c r="D114" s="45"/>
      <c r="E114" s="48" t="str">
        <f t="shared" si="0"/>
        <v>TC-</v>
      </c>
      <c r="F114" s="45"/>
      <c r="G114" s="3" t="s">
        <v>153</v>
      </c>
      <c r="H114" s="3" t="s">
        <v>290</v>
      </c>
      <c r="I114" s="59"/>
      <c r="J114" s="8" t="s">
        <v>128</v>
      </c>
      <c r="K114" s="7"/>
    </row>
    <row r="115" spans="1:11" ht="17.5" thickBot="1">
      <c r="A115" s="49"/>
      <c r="B115" s="49"/>
      <c r="C115" s="46"/>
      <c r="D115" s="46"/>
      <c r="E115" s="49" t="str">
        <f t="shared" si="0"/>
        <v>TC-</v>
      </c>
      <c r="F115" s="46"/>
      <c r="G115" s="3" t="s">
        <v>278</v>
      </c>
      <c r="H115" s="3" t="s">
        <v>279</v>
      </c>
      <c r="I115" s="60"/>
      <c r="J115" s="8" t="s">
        <v>128</v>
      </c>
      <c r="K115" s="7"/>
    </row>
    <row r="116" spans="1:11" ht="51.5" thickBot="1">
      <c r="A116" s="47" t="s">
        <v>291</v>
      </c>
      <c r="B116" s="47" t="s">
        <v>18</v>
      </c>
      <c r="C116" s="44" t="s">
        <v>292</v>
      </c>
      <c r="D116" s="44" t="s">
        <v>293</v>
      </c>
      <c r="E116" s="47" t="s">
        <v>423</v>
      </c>
      <c r="F116" s="3" t="s">
        <v>294</v>
      </c>
      <c r="G116" s="3" t="s">
        <v>295</v>
      </c>
      <c r="H116" s="3" t="s">
        <v>359</v>
      </c>
      <c r="I116" s="7"/>
      <c r="J116" s="8" t="s">
        <v>128</v>
      </c>
      <c r="K116" s="7"/>
    </row>
    <row r="117" spans="1:11" ht="34.5" thickBot="1">
      <c r="A117" s="48"/>
      <c r="B117" s="48"/>
      <c r="C117" s="45"/>
      <c r="D117" s="45"/>
      <c r="E117" s="48"/>
      <c r="F117" s="3" t="s">
        <v>294</v>
      </c>
      <c r="G117" s="3" t="s">
        <v>296</v>
      </c>
      <c r="H117" s="3" t="s">
        <v>297</v>
      </c>
      <c r="I117" s="7"/>
      <c r="J117" s="8" t="s">
        <v>128</v>
      </c>
      <c r="K117" s="7"/>
    </row>
    <row r="118" spans="1:11" ht="68.5" thickBot="1">
      <c r="A118" s="49"/>
      <c r="B118" s="49"/>
      <c r="C118" s="46"/>
      <c r="D118" s="46"/>
      <c r="E118" s="49"/>
      <c r="F118" s="3" t="s">
        <v>294</v>
      </c>
      <c r="G118" s="3" t="s">
        <v>298</v>
      </c>
      <c r="H118" s="3" t="s">
        <v>299</v>
      </c>
      <c r="I118" s="7"/>
      <c r="J118" s="8" t="s">
        <v>128</v>
      </c>
      <c r="K118" s="7"/>
    </row>
    <row r="119" spans="1:11" ht="68.5" thickBot="1">
      <c r="A119" s="47" t="s">
        <v>300</v>
      </c>
      <c r="B119" s="47" t="s">
        <v>195</v>
      </c>
      <c r="C119" s="44" t="s">
        <v>301</v>
      </c>
      <c r="D119" s="44" t="s">
        <v>293</v>
      </c>
      <c r="E119" s="47" t="s">
        <v>424</v>
      </c>
      <c r="F119" s="3" t="s">
        <v>294</v>
      </c>
      <c r="G119" s="3" t="s">
        <v>302</v>
      </c>
      <c r="H119" s="3" t="s">
        <v>299</v>
      </c>
      <c r="I119" s="7"/>
      <c r="J119" s="8" t="s">
        <v>128</v>
      </c>
      <c r="K119" s="7"/>
    </row>
    <row r="120" spans="1:11" ht="68.5" thickBot="1">
      <c r="A120" s="48"/>
      <c r="B120" s="48"/>
      <c r="C120" s="45"/>
      <c r="D120" s="45"/>
      <c r="E120" s="48"/>
      <c r="F120" s="3" t="s">
        <v>294</v>
      </c>
      <c r="G120" s="3" t="s">
        <v>200</v>
      </c>
      <c r="H120" s="3" t="s">
        <v>303</v>
      </c>
      <c r="I120" s="7"/>
      <c r="J120" s="8" t="s">
        <v>128</v>
      </c>
      <c r="K120" s="7"/>
    </row>
    <row r="121" spans="1:11" ht="68.5" thickBot="1">
      <c r="A121" s="49"/>
      <c r="B121" s="49"/>
      <c r="C121" s="46"/>
      <c r="D121" s="46"/>
      <c r="E121" s="49"/>
      <c r="F121" s="3" t="s">
        <v>294</v>
      </c>
      <c r="G121" s="3" t="s">
        <v>203</v>
      </c>
      <c r="H121" s="3" t="s">
        <v>299</v>
      </c>
      <c r="I121" s="7"/>
      <c r="J121" s="8" t="s">
        <v>128</v>
      </c>
      <c r="K121" s="7"/>
    </row>
    <row r="122" spans="1:11" ht="68.5" thickBot="1">
      <c r="A122" s="47" t="s">
        <v>304</v>
      </c>
      <c r="B122" s="47" t="s">
        <v>305</v>
      </c>
      <c r="C122" s="44" t="s">
        <v>306</v>
      </c>
      <c r="D122" s="44" t="s">
        <v>307</v>
      </c>
      <c r="E122" s="47" t="s">
        <v>428</v>
      </c>
      <c r="F122" s="3" t="s">
        <v>294</v>
      </c>
      <c r="G122" s="3" t="s">
        <v>302</v>
      </c>
      <c r="H122" s="3" t="s">
        <v>299</v>
      </c>
      <c r="I122" s="7"/>
      <c r="J122" s="8" t="s">
        <v>128</v>
      </c>
      <c r="K122" s="7"/>
    </row>
    <row r="123" spans="1:11" ht="51.5" thickBot="1">
      <c r="A123" s="49"/>
      <c r="B123" s="49"/>
      <c r="C123" s="46"/>
      <c r="D123" s="46"/>
      <c r="E123" s="49"/>
      <c r="F123" s="3" t="s">
        <v>294</v>
      </c>
      <c r="G123" s="3" t="s">
        <v>308</v>
      </c>
      <c r="H123" s="3" t="s">
        <v>309</v>
      </c>
      <c r="I123" s="7"/>
      <c r="J123" s="8" t="s">
        <v>128</v>
      </c>
      <c r="K123" s="7"/>
    </row>
    <row r="124" spans="1:11" ht="68.5" thickBot="1">
      <c r="A124" s="47" t="s">
        <v>310</v>
      </c>
      <c r="B124" s="47" t="s">
        <v>311</v>
      </c>
      <c r="C124" s="44" t="s">
        <v>312</v>
      </c>
      <c r="D124" s="44" t="s">
        <v>313</v>
      </c>
      <c r="E124" s="47" t="s">
        <v>429</v>
      </c>
      <c r="F124" s="3" t="s">
        <v>294</v>
      </c>
      <c r="G124" s="3" t="s">
        <v>302</v>
      </c>
      <c r="H124" s="3" t="s">
        <v>299</v>
      </c>
      <c r="I124" s="44" t="s">
        <v>314</v>
      </c>
      <c r="J124" s="8" t="s">
        <v>128</v>
      </c>
      <c r="K124" s="7"/>
    </row>
    <row r="125" spans="1:11" ht="119.5" thickBot="1">
      <c r="A125" s="49"/>
      <c r="B125" s="49"/>
      <c r="C125" s="46"/>
      <c r="D125" s="46"/>
      <c r="E125" s="49"/>
      <c r="F125" s="3" t="s">
        <v>294</v>
      </c>
      <c r="G125" s="3" t="s">
        <v>315</v>
      </c>
      <c r="H125" s="3" t="s">
        <v>316</v>
      </c>
      <c r="I125" s="46"/>
      <c r="J125" s="8" t="s">
        <v>128</v>
      </c>
      <c r="K125" s="7"/>
    </row>
    <row r="126" spans="1:11" ht="68.5" thickBot="1">
      <c r="A126" s="47" t="s">
        <v>317</v>
      </c>
      <c r="B126" s="47" t="s">
        <v>318</v>
      </c>
      <c r="C126" s="44" t="s">
        <v>319</v>
      </c>
      <c r="D126" s="44" t="s">
        <v>320</v>
      </c>
      <c r="E126" s="47" t="s">
        <v>430</v>
      </c>
      <c r="F126" s="44" t="s">
        <v>321</v>
      </c>
      <c r="G126" s="3" t="s">
        <v>302</v>
      </c>
      <c r="H126" s="3" t="s">
        <v>299</v>
      </c>
      <c r="I126" s="7"/>
      <c r="J126" s="8" t="s">
        <v>128</v>
      </c>
      <c r="K126" s="7"/>
    </row>
    <row r="127" spans="1:11" ht="51.5" thickBot="1">
      <c r="A127" s="48"/>
      <c r="B127" s="48"/>
      <c r="C127" s="45"/>
      <c r="D127" s="45"/>
      <c r="E127" s="48"/>
      <c r="F127" s="45"/>
      <c r="G127" s="3" t="s">
        <v>322</v>
      </c>
      <c r="H127" s="3" t="s">
        <v>323</v>
      </c>
      <c r="I127" s="7"/>
      <c r="J127" s="8" t="s">
        <v>128</v>
      </c>
      <c r="K127" s="7"/>
    </row>
    <row r="128" spans="1:11" ht="17.5" thickBot="1">
      <c r="A128" s="48"/>
      <c r="B128" s="48"/>
      <c r="C128" s="45"/>
      <c r="D128" s="45"/>
      <c r="E128" s="48"/>
      <c r="F128" s="45"/>
      <c r="G128" s="3" t="s">
        <v>324</v>
      </c>
      <c r="H128" s="3" t="s">
        <v>325</v>
      </c>
      <c r="I128" s="7"/>
      <c r="J128" s="8" t="s">
        <v>128</v>
      </c>
      <c r="K128" s="7"/>
    </row>
    <row r="129" spans="1:11" ht="102.5" thickBot="1">
      <c r="A129" s="48"/>
      <c r="B129" s="48"/>
      <c r="C129" s="45"/>
      <c r="D129" s="45"/>
      <c r="E129" s="48"/>
      <c r="F129" s="45"/>
      <c r="G129" s="3" t="s">
        <v>326</v>
      </c>
      <c r="H129" s="3" t="s">
        <v>106</v>
      </c>
      <c r="I129" s="7"/>
      <c r="J129" s="8" t="s">
        <v>128</v>
      </c>
      <c r="K129" s="7"/>
    </row>
    <row r="130" spans="1:11" ht="68.5" thickBot="1">
      <c r="A130" s="48"/>
      <c r="B130" s="48"/>
      <c r="C130" s="45"/>
      <c r="D130" s="45"/>
      <c r="E130" s="48"/>
      <c r="F130" s="45"/>
      <c r="G130" s="3" t="s">
        <v>327</v>
      </c>
      <c r="H130" s="3" t="s">
        <v>328</v>
      </c>
      <c r="I130" s="7"/>
      <c r="J130" s="8" t="s">
        <v>128</v>
      </c>
      <c r="K130" s="6" t="s">
        <v>329</v>
      </c>
    </row>
    <row r="131" spans="1:11" ht="34.5" thickBot="1">
      <c r="A131" s="49"/>
      <c r="B131" s="49"/>
      <c r="C131" s="46"/>
      <c r="D131" s="46"/>
      <c r="E131" s="49"/>
      <c r="F131" s="46"/>
      <c r="G131" s="3" t="s">
        <v>330</v>
      </c>
      <c r="H131" s="3" t="s">
        <v>331</v>
      </c>
      <c r="I131" s="7"/>
      <c r="J131" s="8" t="s">
        <v>128</v>
      </c>
      <c r="K131" s="6" t="s">
        <v>332</v>
      </c>
    </row>
    <row r="132" spans="1:11" ht="68.5" thickBot="1">
      <c r="A132" s="47" t="s">
        <v>333</v>
      </c>
      <c r="B132" s="47" t="s">
        <v>334</v>
      </c>
      <c r="C132" s="44" t="s">
        <v>421</v>
      </c>
      <c r="D132" s="44" t="s">
        <v>335</v>
      </c>
      <c r="E132" s="47" t="s">
        <v>431</v>
      </c>
      <c r="F132" s="44" t="s">
        <v>321</v>
      </c>
      <c r="G132" s="3" t="s">
        <v>302</v>
      </c>
      <c r="H132" s="3" t="s">
        <v>299</v>
      </c>
      <c r="I132" s="7"/>
      <c r="J132" s="8" t="s">
        <v>128</v>
      </c>
      <c r="K132" s="7"/>
    </row>
    <row r="133" spans="1:11" ht="51.5" thickBot="1">
      <c r="A133" s="48"/>
      <c r="B133" s="48"/>
      <c r="C133" s="45"/>
      <c r="D133" s="45"/>
      <c r="E133" s="48"/>
      <c r="F133" s="45"/>
      <c r="G133" s="3" t="s">
        <v>322</v>
      </c>
      <c r="H133" s="3" t="s">
        <v>323</v>
      </c>
      <c r="I133" s="7"/>
      <c r="J133" s="8" t="s">
        <v>128</v>
      </c>
      <c r="K133" s="7"/>
    </row>
    <row r="134" spans="1:11" ht="17.5" thickBot="1">
      <c r="A134" s="48"/>
      <c r="B134" s="48"/>
      <c r="C134" s="45"/>
      <c r="D134" s="45"/>
      <c r="E134" s="48"/>
      <c r="F134" s="45"/>
      <c r="G134" s="3" t="s">
        <v>336</v>
      </c>
      <c r="H134" s="3" t="s">
        <v>337</v>
      </c>
      <c r="I134" s="7"/>
      <c r="J134" s="8" t="s">
        <v>128</v>
      </c>
      <c r="K134" s="7"/>
    </row>
    <row r="135" spans="1:11" ht="68.5" thickBot="1">
      <c r="A135" s="48"/>
      <c r="B135" s="48"/>
      <c r="C135" s="45"/>
      <c r="D135" s="45"/>
      <c r="E135" s="48"/>
      <c r="F135" s="45"/>
      <c r="G135" s="3" t="s">
        <v>327</v>
      </c>
      <c r="H135" s="3" t="s">
        <v>338</v>
      </c>
      <c r="I135" s="7"/>
      <c r="J135" s="8" t="s">
        <v>128</v>
      </c>
      <c r="K135" s="6" t="s">
        <v>329</v>
      </c>
    </row>
    <row r="136" spans="1:11" ht="34.5" thickBot="1">
      <c r="A136" s="49"/>
      <c r="B136" s="49"/>
      <c r="C136" s="46"/>
      <c r="D136" s="46"/>
      <c r="E136" s="49"/>
      <c r="F136" s="46"/>
      <c r="G136" s="3" t="s">
        <v>330</v>
      </c>
      <c r="H136" s="3" t="s">
        <v>339</v>
      </c>
      <c r="I136" s="7"/>
      <c r="J136" s="8" t="s">
        <v>128</v>
      </c>
      <c r="K136" s="6" t="s">
        <v>332</v>
      </c>
    </row>
    <row r="137" spans="1:11" ht="68.5" thickBot="1">
      <c r="A137" s="47" t="s">
        <v>340</v>
      </c>
      <c r="B137" s="47" t="s">
        <v>341</v>
      </c>
      <c r="C137" s="44" t="s">
        <v>342</v>
      </c>
      <c r="D137" s="44" t="s">
        <v>320</v>
      </c>
      <c r="E137" s="47" t="s">
        <v>427</v>
      </c>
      <c r="F137" s="44" t="s">
        <v>321</v>
      </c>
      <c r="G137" s="3" t="s">
        <v>302</v>
      </c>
      <c r="H137" s="3" t="s">
        <v>299</v>
      </c>
      <c r="I137" s="44" t="s">
        <v>314</v>
      </c>
      <c r="J137" s="8" t="s">
        <v>128</v>
      </c>
      <c r="K137" s="7"/>
    </row>
    <row r="138" spans="1:11" ht="68.5" thickBot="1">
      <c r="A138" s="48"/>
      <c r="B138" s="48"/>
      <c r="C138" s="45"/>
      <c r="D138" s="45"/>
      <c r="E138" s="48"/>
      <c r="F138" s="45"/>
      <c r="G138" s="3" t="s">
        <v>343</v>
      </c>
      <c r="H138" s="3" t="s">
        <v>316</v>
      </c>
      <c r="I138" s="45"/>
      <c r="J138" s="8" t="s">
        <v>128</v>
      </c>
      <c r="K138" s="7"/>
    </row>
    <row r="139" spans="1:11" ht="17.5" thickBot="1">
      <c r="A139" s="48"/>
      <c r="B139" s="48"/>
      <c r="C139" s="45"/>
      <c r="D139" s="45"/>
      <c r="E139" s="48"/>
      <c r="F139" s="45"/>
      <c r="G139" s="3" t="s">
        <v>324</v>
      </c>
      <c r="H139" s="3" t="s">
        <v>325</v>
      </c>
      <c r="I139" s="45"/>
      <c r="J139" s="8" t="s">
        <v>128</v>
      </c>
      <c r="K139" s="7"/>
    </row>
    <row r="140" spans="1:11" ht="68.5" thickBot="1">
      <c r="A140" s="48"/>
      <c r="B140" s="48"/>
      <c r="C140" s="45"/>
      <c r="D140" s="45"/>
      <c r="E140" s="48"/>
      <c r="F140" s="45"/>
      <c r="G140" s="3" t="s">
        <v>327</v>
      </c>
      <c r="H140" s="3" t="s">
        <v>328</v>
      </c>
      <c r="I140" s="45"/>
      <c r="J140" s="8" t="s">
        <v>128</v>
      </c>
      <c r="K140" s="6" t="s">
        <v>329</v>
      </c>
    </row>
    <row r="141" spans="1:11" ht="34.5" thickBot="1">
      <c r="A141" s="49"/>
      <c r="B141" s="49"/>
      <c r="C141" s="46"/>
      <c r="D141" s="46"/>
      <c r="E141" s="49"/>
      <c r="F141" s="46"/>
      <c r="G141" s="3" t="s">
        <v>330</v>
      </c>
      <c r="H141" s="3" t="s">
        <v>339</v>
      </c>
      <c r="I141" s="46"/>
      <c r="J141" s="8" t="s">
        <v>128</v>
      </c>
      <c r="K141" s="6" t="s">
        <v>332</v>
      </c>
    </row>
    <row r="142" spans="1:11">
      <c r="A142" s="27"/>
      <c r="B142" s="27"/>
      <c r="C142" s="27"/>
      <c r="D142" s="27"/>
      <c r="E142" s="27"/>
      <c r="F142" s="27"/>
      <c r="G142" s="27"/>
      <c r="H142" s="27"/>
      <c r="I142" s="27"/>
      <c r="J142" s="27"/>
    </row>
    <row r="143" spans="1:11">
      <c r="A143" s="27"/>
      <c r="B143" s="27"/>
      <c r="C143" s="27"/>
      <c r="D143" s="27"/>
      <c r="E143" s="27"/>
      <c r="F143" s="27"/>
      <c r="G143" s="27"/>
      <c r="H143" s="27"/>
      <c r="I143" s="27"/>
      <c r="J143" s="27"/>
    </row>
    <row r="144" spans="1:11">
      <c r="A144" s="27"/>
      <c r="B144" s="27"/>
      <c r="C144" s="27"/>
      <c r="D144" s="27"/>
      <c r="E144" s="27"/>
      <c r="F144" s="27"/>
      <c r="G144" s="27"/>
      <c r="H144" s="27"/>
      <c r="I144" s="27"/>
      <c r="J144" s="27"/>
    </row>
    <row r="145" spans="1:10">
      <c r="A145" s="27"/>
      <c r="B145" s="27"/>
      <c r="C145" s="27"/>
      <c r="D145" s="27"/>
      <c r="E145" s="27"/>
      <c r="F145" s="27"/>
      <c r="G145" s="27"/>
      <c r="H145" s="27"/>
      <c r="I145" s="27"/>
      <c r="J145" s="27"/>
    </row>
    <row r="146" spans="1:10">
      <c r="A146" s="27"/>
      <c r="B146" s="27"/>
      <c r="C146" s="27"/>
      <c r="D146" s="27"/>
      <c r="E146" s="27"/>
      <c r="F146" s="27"/>
      <c r="G146" s="27"/>
      <c r="H146" s="27"/>
      <c r="I146" s="27"/>
      <c r="J146" s="27"/>
    </row>
    <row r="147" spans="1:10">
      <c r="A147" s="27"/>
      <c r="B147" s="27"/>
      <c r="C147" s="27"/>
      <c r="D147" s="27"/>
      <c r="E147" s="27"/>
      <c r="F147" s="27"/>
      <c r="G147" s="27"/>
      <c r="H147" s="27"/>
      <c r="I147" s="27"/>
      <c r="J147" s="27"/>
    </row>
    <row r="148" spans="1:10">
      <c r="A148" s="27"/>
      <c r="B148" s="27"/>
      <c r="C148" s="27"/>
      <c r="D148" s="27"/>
      <c r="E148" s="27"/>
      <c r="F148" s="27"/>
      <c r="G148" s="27"/>
      <c r="H148" s="27"/>
      <c r="I148" s="27"/>
      <c r="J148" s="27"/>
    </row>
    <row r="149" spans="1:10">
      <c r="A149" s="27"/>
      <c r="B149" s="27"/>
      <c r="C149" s="27"/>
      <c r="D149" s="27"/>
      <c r="E149" s="27"/>
      <c r="F149" s="27"/>
      <c r="G149" s="27"/>
      <c r="H149" s="27"/>
      <c r="I149" s="27"/>
      <c r="J149" s="27"/>
    </row>
    <row r="150" spans="1:10">
      <c r="A150" s="27"/>
      <c r="B150" s="27"/>
      <c r="C150" s="27"/>
      <c r="D150" s="27"/>
      <c r="E150" s="27"/>
      <c r="F150" s="27"/>
      <c r="G150" s="27"/>
      <c r="H150" s="27"/>
      <c r="I150" s="27"/>
      <c r="J150" s="27"/>
    </row>
    <row r="151" spans="1:10">
      <c r="A151" s="27"/>
      <c r="B151" s="27"/>
      <c r="C151" s="27"/>
      <c r="D151" s="27"/>
      <c r="E151" s="27"/>
      <c r="F151" s="27"/>
      <c r="G151" s="27"/>
      <c r="H151" s="27"/>
      <c r="I151" s="27"/>
      <c r="J151" s="27"/>
    </row>
    <row r="152" spans="1:10">
      <c r="A152" s="27"/>
      <c r="B152" s="27"/>
      <c r="C152" s="27"/>
      <c r="D152" s="27"/>
      <c r="E152" s="27"/>
      <c r="F152" s="27"/>
      <c r="G152" s="27"/>
      <c r="H152" s="27"/>
      <c r="I152" s="27"/>
      <c r="J152" s="27"/>
    </row>
    <row r="153" spans="1:10">
      <c r="A153" s="27"/>
      <c r="B153" s="27"/>
      <c r="C153" s="27"/>
      <c r="D153" s="27"/>
      <c r="E153" s="27"/>
      <c r="F153" s="27"/>
      <c r="G153" s="27"/>
      <c r="H153" s="27"/>
      <c r="I153" s="27"/>
      <c r="J153" s="27"/>
    </row>
    <row r="154" spans="1:10">
      <c r="A154" s="27"/>
      <c r="B154" s="27"/>
      <c r="C154" s="27"/>
      <c r="D154" s="27"/>
      <c r="E154" s="27"/>
      <c r="F154" s="27"/>
      <c r="G154" s="27"/>
      <c r="H154" s="27"/>
      <c r="I154" s="27"/>
      <c r="J154" s="27"/>
    </row>
    <row r="155" spans="1:10">
      <c r="A155" s="27"/>
      <c r="B155" s="27"/>
      <c r="C155" s="27"/>
      <c r="D155" s="27"/>
      <c r="E155" s="27"/>
      <c r="F155" s="27"/>
      <c r="G155" s="27"/>
      <c r="H155" s="27"/>
      <c r="I155" s="27"/>
      <c r="J155" s="27"/>
    </row>
    <row r="156" spans="1:10">
      <c r="A156" s="27"/>
      <c r="B156" s="27"/>
      <c r="C156" s="27"/>
      <c r="D156" s="27"/>
      <c r="E156" s="27"/>
      <c r="F156" s="27"/>
      <c r="G156" s="27"/>
      <c r="H156" s="27"/>
      <c r="I156" s="27"/>
      <c r="J156" s="27"/>
    </row>
    <row r="157" spans="1:10">
      <c r="A157" s="27"/>
      <c r="B157" s="27"/>
      <c r="C157" s="27"/>
      <c r="D157" s="27"/>
      <c r="E157" s="27"/>
      <c r="F157" s="27"/>
      <c r="G157" s="27"/>
      <c r="H157" s="27"/>
      <c r="I157" s="27"/>
      <c r="J157" s="27"/>
    </row>
    <row r="158" spans="1:10">
      <c r="A158" s="27"/>
      <c r="B158" s="27"/>
      <c r="C158" s="27"/>
      <c r="D158" s="27"/>
      <c r="E158" s="27"/>
      <c r="F158" s="27"/>
      <c r="G158" s="27"/>
      <c r="H158" s="27"/>
      <c r="I158" s="27"/>
      <c r="J158" s="27"/>
    </row>
    <row r="159" spans="1:10">
      <c r="A159" s="27"/>
      <c r="B159" s="27"/>
      <c r="C159" s="27"/>
      <c r="D159" s="27"/>
      <c r="E159" s="27"/>
      <c r="F159" s="27"/>
      <c r="G159" s="27"/>
      <c r="H159" s="27"/>
      <c r="I159" s="27"/>
      <c r="J159" s="27"/>
    </row>
    <row r="160" spans="1:10">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sheetData>
  <mergeCells count="223">
    <mergeCell ref="F54:F56"/>
    <mergeCell ref="F58:F64"/>
    <mergeCell ref="F65:F68"/>
    <mergeCell ref="I137:I141"/>
    <mergeCell ref="F2:F4"/>
    <mergeCell ref="F6:F10"/>
    <mergeCell ref="F11:F14"/>
    <mergeCell ref="F15:F16"/>
    <mergeCell ref="F17:F18"/>
    <mergeCell ref="F19:F20"/>
    <mergeCell ref="F21:F22"/>
    <mergeCell ref="F23:F26"/>
    <mergeCell ref="F27:F34"/>
    <mergeCell ref="I124:I125"/>
    <mergeCell ref="I109:I115"/>
    <mergeCell ref="I93:I95"/>
    <mergeCell ref="I83:I86"/>
    <mergeCell ref="F83:F86"/>
    <mergeCell ref="I65:I68"/>
    <mergeCell ref="I27:I34"/>
    <mergeCell ref="I21:I22"/>
    <mergeCell ref="I17:I18"/>
    <mergeCell ref="I11:I14"/>
    <mergeCell ref="I2:I4"/>
    <mergeCell ref="F126:F131"/>
    <mergeCell ref="F132:F136"/>
    <mergeCell ref="F137:F141"/>
    <mergeCell ref="A137:A141"/>
    <mergeCell ref="B137:B141"/>
    <mergeCell ref="C137:C141"/>
    <mergeCell ref="D137:D141"/>
    <mergeCell ref="E137:E141"/>
    <mergeCell ref="A132:A136"/>
    <mergeCell ref="B132:B136"/>
    <mergeCell ref="C132:C136"/>
    <mergeCell ref="D132:D136"/>
    <mergeCell ref="E132:E136"/>
    <mergeCell ref="A126:A131"/>
    <mergeCell ref="B126:B131"/>
    <mergeCell ref="C126:C131"/>
    <mergeCell ref="D126:D131"/>
    <mergeCell ref="E126:E131"/>
    <mergeCell ref="A124:A125"/>
    <mergeCell ref="B124:B125"/>
    <mergeCell ref="C124:C125"/>
    <mergeCell ref="D124:D125"/>
    <mergeCell ref="E124:E125"/>
    <mergeCell ref="A119:A121"/>
    <mergeCell ref="B119:B121"/>
    <mergeCell ref="C119:C121"/>
    <mergeCell ref="D119:D121"/>
    <mergeCell ref="E119:E121"/>
    <mergeCell ref="A122:A123"/>
    <mergeCell ref="B122:B123"/>
    <mergeCell ref="C122:C123"/>
    <mergeCell ref="D122:D123"/>
    <mergeCell ref="E122:E123"/>
    <mergeCell ref="A116:A118"/>
    <mergeCell ref="B116:B118"/>
    <mergeCell ref="C116:C118"/>
    <mergeCell ref="D116:D118"/>
    <mergeCell ref="E116:E118"/>
    <mergeCell ref="F109:F115"/>
    <mergeCell ref="A109:A115"/>
    <mergeCell ref="B109:B115"/>
    <mergeCell ref="C109:C115"/>
    <mergeCell ref="D109:D115"/>
    <mergeCell ref="E109:E115"/>
    <mergeCell ref="A99:A106"/>
    <mergeCell ref="B99:B106"/>
    <mergeCell ref="C99:C106"/>
    <mergeCell ref="D99:D106"/>
    <mergeCell ref="E99:E106"/>
    <mergeCell ref="I100:I106"/>
    <mergeCell ref="F93:F95"/>
    <mergeCell ref="F99:F106"/>
    <mergeCell ref="A93:A95"/>
    <mergeCell ref="B93:B95"/>
    <mergeCell ref="C93:C95"/>
    <mergeCell ref="D93:D95"/>
    <mergeCell ref="E93:E95"/>
    <mergeCell ref="K89:K90"/>
    <mergeCell ref="A91:A92"/>
    <mergeCell ref="B91:B92"/>
    <mergeCell ref="C91:C92"/>
    <mergeCell ref="D91:D92"/>
    <mergeCell ref="E91:E92"/>
    <mergeCell ref="I91:I92"/>
    <mergeCell ref="F87:F90"/>
    <mergeCell ref="F91:F92"/>
    <mergeCell ref="A87:A90"/>
    <mergeCell ref="B87:B90"/>
    <mergeCell ref="C87:C90"/>
    <mergeCell ref="D87:D90"/>
    <mergeCell ref="E87:E90"/>
    <mergeCell ref="I87:I90"/>
    <mergeCell ref="A83:A86"/>
    <mergeCell ref="B83:B86"/>
    <mergeCell ref="C83:C86"/>
    <mergeCell ref="D83:D86"/>
    <mergeCell ref="E83:E86"/>
    <mergeCell ref="I74:I75"/>
    <mergeCell ref="A80:A82"/>
    <mergeCell ref="B80:B82"/>
    <mergeCell ref="C80:C82"/>
    <mergeCell ref="D80:D82"/>
    <mergeCell ref="E80:E82"/>
    <mergeCell ref="I81:I82"/>
    <mergeCell ref="F74:F75"/>
    <mergeCell ref="F80:F82"/>
    <mergeCell ref="A74:A75"/>
    <mergeCell ref="B74:B75"/>
    <mergeCell ref="C74:C75"/>
    <mergeCell ref="D74:D75"/>
    <mergeCell ref="E74:E75"/>
    <mergeCell ref="K69:K70"/>
    <mergeCell ref="A72:A73"/>
    <mergeCell ref="B72:B73"/>
    <mergeCell ref="C72:C73"/>
    <mergeCell ref="D72:D73"/>
    <mergeCell ref="E72:E73"/>
    <mergeCell ref="I72:I73"/>
    <mergeCell ref="F69:F70"/>
    <mergeCell ref="F72:F73"/>
    <mergeCell ref="A69:A70"/>
    <mergeCell ref="B69:B70"/>
    <mergeCell ref="C69:C70"/>
    <mergeCell ref="D69:D70"/>
    <mergeCell ref="E69:E70"/>
    <mergeCell ref="I69:I70"/>
    <mergeCell ref="A51:A52"/>
    <mergeCell ref="B51:B52"/>
    <mergeCell ref="C51:C52"/>
    <mergeCell ref="D51:D52"/>
    <mergeCell ref="E51:E52"/>
    <mergeCell ref="I51:I52"/>
    <mergeCell ref="A65:A68"/>
    <mergeCell ref="B65:B68"/>
    <mergeCell ref="C65:C68"/>
    <mergeCell ref="D65:D68"/>
    <mergeCell ref="E65:E68"/>
    <mergeCell ref="I54:I56"/>
    <mergeCell ref="A58:A64"/>
    <mergeCell ref="B58:B64"/>
    <mergeCell ref="C58:C64"/>
    <mergeCell ref="D58:D64"/>
    <mergeCell ref="E58:E64"/>
    <mergeCell ref="I58:I64"/>
    <mergeCell ref="A54:A56"/>
    <mergeCell ref="B54:B56"/>
    <mergeCell ref="C54:C56"/>
    <mergeCell ref="D54:D56"/>
    <mergeCell ref="E54:E56"/>
    <mergeCell ref="F51:F52"/>
    <mergeCell ref="J27:J34"/>
    <mergeCell ref="I35:I42"/>
    <mergeCell ref="J35:J42"/>
    <mergeCell ref="A43:A50"/>
    <mergeCell ref="B43:B50"/>
    <mergeCell ref="C43:C50"/>
    <mergeCell ref="D43:D50"/>
    <mergeCell ref="A27:A42"/>
    <mergeCell ref="B27:B42"/>
    <mergeCell ref="C27:C42"/>
    <mergeCell ref="D27:D42"/>
    <mergeCell ref="E27:E42"/>
    <mergeCell ref="E43:E50"/>
    <mergeCell ref="I43:I50"/>
    <mergeCell ref="J43:J50"/>
    <mergeCell ref="F35:F42"/>
    <mergeCell ref="F43:F50"/>
    <mergeCell ref="J21:J22"/>
    <mergeCell ref="A23:A26"/>
    <mergeCell ref="B23:B26"/>
    <mergeCell ref="C23:C26"/>
    <mergeCell ref="D23:D26"/>
    <mergeCell ref="E23:E26"/>
    <mergeCell ref="I23:I26"/>
    <mergeCell ref="J23:J26"/>
    <mergeCell ref="A21:A22"/>
    <mergeCell ref="B21:B22"/>
    <mergeCell ref="C21:C22"/>
    <mergeCell ref="D21:D22"/>
    <mergeCell ref="E21:E22"/>
    <mergeCell ref="J17:J18"/>
    <mergeCell ref="A19:A20"/>
    <mergeCell ref="B19:B20"/>
    <mergeCell ref="C19:C20"/>
    <mergeCell ref="D19:D20"/>
    <mergeCell ref="E19:E20"/>
    <mergeCell ref="I19:I20"/>
    <mergeCell ref="J19:J20"/>
    <mergeCell ref="A17:A18"/>
    <mergeCell ref="B17:B18"/>
    <mergeCell ref="C17:C18"/>
    <mergeCell ref="D17:D18"/>
    <mergeCell ref="E17:E18"/>
    <mergeCell ref="J11:J14"/>
    <mergeCell ref="A15:A16"/>
    <mergeCell ref="B15:B16"/>
    <mergeCell ref="C15:C16"/>
    <mergeCell ref="D15:D16"/>
    <mergeCell ref="E15:E16"/>
    <mergeCell ref="I15:I16"/>
    <mergeCell ref="J15:J16"/>
    <mergeCell ref="A11:A14"/>
    <mergeCell ref="B11:B14"/>
    <mergeCell ref="C11:C14"/>
    <mergeCell ref="D11:D14"/>
    <mergeCell ref="E11:E14"/>
    <mergeCell ref="J2:J4"/>
    <mergeCell ref="A6:A10"/>
    <mergeCell ref="B6:B10"/>
    <mergeCell ref="C6:C10"/>
    <mergeCell ref="D6:D10"/>
    <mergeCell ref="E6:E10"/>
    <mergeCell ref="I6:I10"/>
    <mergeCell ref="J6:J10"/>
    <mergeCell ref="A2:A4"/>
    <mergeCell ref="B2:B4"/>
    <mergeCell ref="C2:C4"/>
    <mergeCell ref="D2:D4"/>
    <mergeCell ref="E2:E4"/>
  </mergeCells>
  <phoneticPr fontId="1" type="noConversion"/>
  <conditionalFormatting sqref="A1:D26 G1:K26 A43:D141 G35:K141">
    <cfRule type="containsText" dxfId="85" priority="20" operator="containsText" text="TBD">
      <formula>NOT(ISERROR(SEARCH("TBD",A1)))</formula>
    </cfRule>
  </conditionalFormatting>
  <conditionalFormatting sqref="A27:D27 B28:D34 G27:K34">
    <cfRule type="containsText" dxfId="84" priority="19" operator="containsText" text="TBD">
      <formula>NOT(ISERROR(SEARCH("TBD",A27)))</formula>
    </cfRule>
  </conditionalFormatting>
  <conditionalFormatting sqref="E2:E26 E43:E50">
    <cfRule type="containsText" dxfId="83" priority="18" operator="containsText" text="TBD">
      <formula>NOT(ISERROR(SEARCH("TBD",E2)))</formula>
    </cfRule>
  </conditionalFormatting>
  <conditionalFormatting sqref="E27">
    <cfRule type="containsText" dxfId="82" priority="17" operator="containsText" text="TBD">
      <formula>NOT(ISERROR(SEARCH("TBD",E27)))</formula>
    </cfRule>
  </conditionalFormatting>
  <conditionalFormatting sqref="E1">
    <cfRule type="containsText" dxfId="81" priority="16" operator="containsText" text="TBD">
      <formula>NOT(ISERROR(SEARCH("TBD",E1)))</formula>
    </cfRule>
  </conditionalFormatting>
  <conditionalFormatting sqref="E51:E68">
    <cfRule type="containsText" dxfId="80" priority="14" operator="containsText" text="TBD">
      <formula>NOT(ISERROR(SEARCH("TBD",E51)))</formula>
    </cfRule>
  </conditionalFormatting>
  <conditionalFormatting sqref="E69:E90">
    <cfRule type="containsText" dxfId="79" priority="11" operator="containsText" text="TBD">
      <formula>NOT(ISERROR(SEARCH("TBD",E69)))</formula>
    </cfRule>
  </conditionalFormatting>
  <conditionalFormatting sqref="E91:E115">
    <cfRule type="containsText" dxfId="78" priority="8" operator="containsText" text="TBD">
      <formula>NOT(ISERROR(SEARCH("TBD",E91)))</formula>
    </cfRule>
  </conditionalFormatting>
  <conditionalFormatting sqref="E116 E122:E141">
    <cfRule type="containsText" dxfId="77" priority="5" operator="containsText" text="TBD">
      <formula>NOT(ISERROR(SEARCH("TBD",E116)))</formula>
    </cfRule>
  </conditionalFormatting>
  <conditionalFormatting sqref="E119">
    <cfRule type="containsText" dxfId="76" priority="3" operator="containsText" text="TBD">
      <formula>NOT(ISERROR(SEARCH("TBD",E119)))</formula>
    </cfRule>
  </conditionalFormatting>
  <conditionalFormatting sqref="F1:F26 F35:F141">
    <cfRule type="containsText" dxfId="75" priority="2" operator="containsText" text="TBD">
      <formula>NOT(ISERROR(SEARCH("TBD",F1)))</formula>
    </cfRule>
  </conditionalFormatting>
  <conditionalFormatting sqref="F27:F34">
    <cfRule type="containsText" dxfId="74" priority="1" operator="containsText" text="TBD">
      <formula>NOT(ISERROR(SEARCH("TBD",F27)))</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C438-CA5A-4FA1-AD29-C701790FD4F1}">
  <dimension ref="A1:L21"/>
  <sheetViews>
    <sheetView topLeftCell="C1" zoomScale="71" workbookViewId="0">
      <selection activeCell="C6" sqref="C6:C10"/>
    </sheetView>
  </sheetViews>
  <sheetFormatPr defaultColWidth="17.5" defaultRowHeight="17"/>
  <cols>
    <col min="1" max="1" width="38" bestFit="1" customWidth="1"/>
    <col min="2" max="2" width="7.25" bestFit="1" customWidth="1"/>
    <col min="3" max="3" width="11.08203125" customWidth="1"/>
    <col min="4" max="4" width="31.5" bestFit="1" customWidth="1"/>
    <col min="5" max="5" width="37.1640625" bestFit="1" customWidth="1"/>
    <col min="6" max="6" width="27.75" customWidth="1"/>
    <col min="7" max="7" width="28" bestFit="1" customWidth="1"/>
    <col min="8" max="8" width="34.83203125" customWidth="1"/>
    <col min="9" max="9" width="50.6640625" bestFit="1" customWidth="1"/>
    <col min="10" max="10" width="41.5" customWidth="1"/>
    <col min="11" max="11" width="60.5" bestFit="1" customWidth="1"/>
    <col min="12" max="12" width="49.33203125" customWidth="1"/>
  </cols>
  <sheetData>
    <row r="1" spans="1:12">
      <c r="A1" s="20" t="s">
        <v>586</v>
      </c>
      <c r="B1" s="20" t="s">
        <v>587</v>
      </c>
      <c r="C1" s="20" t="s">
        <v>402</v>
      </c>
      <c r="D1" s="20" t="s">
        <v>543</v>
      </c>
      <c r="E1" s="20" t="s">
        <v>565</v>
      </c>
      <c r="F1" s="20" t="s">
        <v>535</v>
      </c>
      <c r="G1" s="20" t="s">
        <v>536</v>
      </c>
      <c r="H1" s="20" t="s">
        <v>578</v>
      </c>
      <c r="I1" s="20" t="s">
        <v>577</v>
      </c>
      <c r="J1" s="21" t="s">
        <v>416</v>
      </c>
      <c r="K1" s="21" t="s">
        <v>573</v>
      </c>
      <c r="L1" s="23" t="s">
        <v>470</v>
      </c>
    </row>
    <row r="2" spans="1:12">
      <c r="A2" s="25" t="s">
        <v>487</v>
      </c>
      <c r="B2" s="25"/>
      <c r="C2" s="26" t="s">
        <v>404</v>
      </c>
      <c r="D2" s="26" t="s">
        <v>545</v>
      </c>
      <c r="E2" s="26" t="s">
        <v>0</v>
      </c>
      <c r="F2" s="26" t="s">
        <v>8</v>
      </c>
      <c r="G2" s="26"/>
      <c r="H2" s="26"/>
      <c r="I2" s="12"/>
      <c r="J2" s="12"/>
      <c r="K2" s="26"/>
      <c r="L2" s="12"/>
    </row>
    <row r="3" spans="1:12">
      <c r="A3" s="25"/>
      <c r="B3" s="25"/>
      <c r="C3" s="26" t="s">
        <v>404</v>
      </c>
      <c r="D3" s="26" t="s">
        <v>545</v>
      </c>
      <c r="E3" s="26" t="s">
        <v>3</v>
      </c>
      <c r="F3" s="26" t="s">
        <v>8</v>
      </c>
      <c r="G3" s="26"/>
      <c r="H3" s="26"/>
      <c r="I3" s="12"/>
      <c r="J3" s="12"/>
      <c r="K3" s="26"/>
      <c r="L3" s="12"/>
    </row>
    <row r="4" spans="1:12">
      <c r="A4" s="25"/>
      <c r="B4" s="25"/>
      <c r="C4" s="26" t="s">
        <v>404</v>
      </c>
      <c r="D4" s="26" t="s">
        <v>545</v>
      </c>
      <c r="E4" s="26" t="s">
        <v>537</v>
      </c>
      <c r="F4" s="26" t="s">
        <v>8</v>
      </c>
      <c r="G4" s="26"/>
      <c r="H4" s="26"/>
      <c r="I4" s="12"/>
      <c r="J4" s="12"/>
      <c r="K4" s="28" t="s">
        <v>538</v>
      </c>
      <c r="L4" s="12"/>
    </row>
    <row r="5" spans="1:12">
      <c r="A5" s="25"/>
      <c r="B5" s="25"/>
      <c r="C5" s="26" t="s">
        <v>404</v>
      </c>
      <c r="D5" s="26" t="s">
        <v>545</v>
      </c>
      <c r="E5" s="26" t="s">
        <v>4</v>
      </c>
      <c r="F5" s="26" t="s">
        <v>8</v>
      </c>
      <c r="G5" s="26"/>
      <c r="H5" s="26"/>
      <c r="I5" s="12"/>
      <c r="J5" s="12"/>
      <c r="K5" s="26"/>
      <c r="L5" s="12"/>
    </row>
    <row r="6" spans="1:12">
      <c r="A6" s="25"/>
      <c r="B6" s="25"/>
      <c r="C6" s="26" t="s">
        <v>404</v>
      </c>
      <c r="D6" s="26" t="s">
        <v>545</v>
      </c>
      <c r="E6" s="26" t="s">
        <v>5</v>
      </c>
      <c r="F6" s="26" t="s">
        <v>362</v>
      </c>
      <c r="G6" s="26"/>
      <c r="H6" s="26"/>
      <c r="I6" s="12"/>
      <c r="J6" s="12"/>
      <c r="K6" s="26"/>
      <c r="L6" s="12"/>
    </row>
    <row r="7" spans="1:12">
      <c r="A7" s="25"/>
      <c r="B7" s="25"/>
      <c r="C7" s="26" t="s">
        <v>404</v>
      </c>
      <c r="D7" s="26" t="s">
        <v>545</v>
      </c>
      <c r="E7" s="26" t="s">
        <v>6</v>
      </c>
      <c r="F7" s="26" t="s">
        <v>8</v>
      </c>
      <c r="G7" s="26"/>
      <c r="H7" s="26"/>
      <c r="I7" s="12"/>
      <c r="J7" s="12"/>
      <c r="K7" s="26"/>
      <c r="L7" s="12"/>
    </row>
    <row r="8" spans="1:12">
      <c r="A8" s="25"/>
      <c r="B8" s="25"/>
      <c r="C8" s="26" t="s">
        <v>404</v>
      </c>
      <c r="D8" s="26" t="s">
        <v>545</v>
      </c>
      <c r="E8" s="28" t="s">
        <v>360</v>
      </c>
      <c r="F8" s="26"/>
      <c r="G8" s="26"/>
      <c r="H8" s="26"/>
      <c r="I8" s="12"/>
      <c r="J8" s="12"/>
      <c r="K8" s="26"/>
      <c r="L8" s="12"/>
    </row>
    <row r="9" spans="1:12">
      <c r="A9" s="25"/>
      <c r="B9" s="25"/>
      <c r="C9" s="26" t="s">
        <v>400</v>
      </c>
      <c r="D9" s="26" t="s">
        <v>539</v>
      </c>
      <c r="E9" s="28" t="s">
        <v>403</v>
      </c>
      <c r="F9" s="26" t="s">
        <v>8</v>
      </c>
      <c r="G9" s="26"/>
      <c r="H9" s="26"/>
      <c r="I9" s="12"/>
      <c r="J9" s="12"/>
      <c r="K9" s="26"/>
      <c r="L9" s="12"/>
    </row>
    <row r="10" spans="1:12" ht="119">
      <c r="A10" s="25"/>
      <c r="B10" s="25"/>
      <c r="C10" s="26" t="s">
        <v>400</v>
      </c>
      <c r="D10" s="26" t="s">
        <v>539</v>
      </c>
      <c r="E10" s="28" t="s">
        <v>403</v>
      </c>
      <c r="F10" s="12"/>
      <c r="G10" s="26"/>
      <c r="H10" s="13" t="s">
        <v>585</v>
      </c>
      <c r="I10" s="13" t="s">
        <v>557</v>
      </c>
      <c r="J10" s="17" t="s">
        <v>558</v>
      </c>
      <c r="K10" s="12" t="s">
        <v>471</v>
      </c>
      <c r="L10" s="12" t="s">
        <v>464</v>
      </c>
    </row>
    <row r="11" spans="1:12" ht="102" customHeight="1">
      <c r="A11" s="25"/>
      <c r="B11" s="25"/>
      <c r="C11" s="26" t="s">
        <v>400</v>
      </c>
      <c r="D11" s="26" t="s">
        <v>539</v>
      </c>
      <c r="E11" s="28" t="s">
        <v>403</v>
      </c>
      <c r="F11" s="12"/>
      <c r="G11" s="26"/>
      <c r="H11" s="13" t="s">
        <v>376</v>
      </c>
      <c r="I11" s="14" t="s">
        <v>377</v>
      </c>
      <c r="J11" s="12" t="s">
        <v>559</v>
      </c>
      <c r="K11" s="12" t="s">
        <v>466</v>
      </c>
      <c r="L11" s="12" t="s">
        <v>542</v>
      </c>
    </row>
    <row r="12" spans="1:12" ht="153">
      <c r="A12" s="25"/>
      <c r="B12" s="25"/>
      <c r="C12" s="26" t="s">
        <v>400</v>
      </c>
      <c r="D12" s="26" t="s">
        <v>539</v>
      </c>
      <c r="E12" s="28" t="s">
        <v>403</v>
      </c>
      <c r="F12" s="12"/>
      <c r="G12" s="26"/>
      <c r="H12" s="13" t="s">
        <v>378</v>
      </c>
      <c r="I12" s="14" t="s">
        <v>380</v>
      </c>
      <c r="J12" s="12" t="s">
        <v>560</v>
      </c>
      <c r="K12" s="12" t="s">
        <v>465</v>
      </c>
      <c r="L12" s="12" t="s">
        <v>469</v>
      </c>
    </row>
    <row r="13" spans="1:12" ht="170">
      <c r="A13" s="25"/>
      <c r="B13" s="25"/>
      <c r="C13" s="26" t="s">
        <v>400</v>
      </c>
      <c r="D13" s="26" t="s">
        <v>539</v>
      </c>
      <c r="E13" s="28" t="s">
        <v>403</v>
      </c>
      <c r="F13" s="12"/>
      <c r="G13" s="26"/>
      <c r="H13" s="13" t="s">
        <v>368</v>
      </c>
      <c r="I13" s="14" t="s">
        <v>379</v>
      </c>
      <c r="J13" s="12" t="s">
        <v>561</v>
      </c>
      <c r="K13" s="12" t="s">
        <v>468</v>
      </c>
      <c r="L13" s="12" t="s">
        <v>394</v>
      </c>
    </row>
    <row r="14" spans="1:12" ht="85">
      <c r="A14" s="25"/>
      <c r="B14" s="25"/>
      <c r="C14" s="26" t="s">
        <v>400</v>
      </c>
      <c r="D14" s="26" t="s">
        <v>539</v>
      </c>
      <c r="E14" s="28" t="s">
        <v>403</v>
      </c>
      <c r="F14" s="12"/>
      <c r="G14" s="26"/>
      <c r="H14" s="14" t="s">
        <v>373</v>
      </c>
      <c r="I14" s="19"/>
      <c r="J14" s="12" t="s">
        <v>562</v>
      </c>
      <c r="K14" s="12" t="s">
        <v>467</v>
      </c>
      <c r="L14" s="12" t="s">
        <v>396</v>
      </c>
    </row>
    <row r="15" spans="1:12">
      <c r="A15" s="25"/>
      <c r="B15" s="25"/>
      <c r="C15" s="26" t="s">
        <v>404</v>
      </c>
      <c r="D15" s="28" t="s">
        <v>547</v>
      </c>
      <c r="E15" s="28" t="s">
        <v>552</v>
      </c>
      <c r="F15" s="26" t="s">
        <v>555</v>
      </c>
      <c r="G15" s="26" t="s">
        <v>555</v>
      </c>
      <c r="H15" s="26"/>
      <c r="I15" s="26"/>
      <c r="J15" s="12"/>
      <c r="K15" s="28" t="s">
        <v>556</v>
      </c>
      <c r="L15" s="27"/>
    </row>
    <row r="16" spans="1:12">
      <c r="A16" s="25"/>
      <c r="B16" s="25"/>
      <c r="C16" s="26" t="s">
        <v>404</v>
      </c>
      <c r="D16" s="28" t="s">
        <v>546</v>
      </c>
      <c r="E16" s="28" t="s">
        <v>554</v>
      </c>
      <c r="F16" s="26" t="s">
        <v>555</v>
      </c>
      <c r="G16" s="26" t="s">
        <v>555</v>
      </c>
      <c r="H16" s="26"/>
      <c r="I16" s="26"/>
      <c r="J16" s="12"/>
      <c r="K16" s="28" t="s">
        <v>556</v>
      </c>
      <c r="L16" s="27"/>
    </row>
    <row r="17" spans="1:12">
      <c r="A17" s="25"/>
      <c r="B17" s="25"/>
      <c r="C17" s="26" t="s">
        <v>404</v>
      </c>
      <c r="D17" s="28" t="s">
        <v>551</v>
      </c>
      <c r="E17" s="28" t="s">
        <v>411</v>
      </c>
      <c r="F17" s="26" t="s">
        <v>555</v>
      </c>
      <c r="G17" s="26" t="s">
        <v>555</v>
      </c>
      <c r="H17" s="26"/>
      <c r="I17" s="26"/>
      <c r="J17" s="12"/>
      <c r="K17" s="28" t="s">
        <v>556</v>
      </c>
      <c r="L17" s="27"/>
    </row>
    <row r="18" spans="1:12">
      <c r="A18" s="25"/>
      <c r="B18" s="25"/>
      <c r="C18" s="26" t="s">
        <v>404</v>
      </c>
      <c r="D18" s="28" t="s">
        <v>548</v>
      </c>
      <c r="E18" s="26" t="s">
        <v>412</v>
      </c>
      <c r="F18" s="26" t="s">
        <v>555</v>
      </c>
      <c r="G18" s="26" t="s">
        <v>555</v>
      </c>
      <c r="H18" s="26"/>
      <c r="I18" s="26"/>
      <c r="J18" s="12"/>
      <c r="K18" s="28" t="s">
        <v>556</v>
      </c>
      <c r="L18" s="27"/>
    </row>
    <row r="19" spans="1:12">
      <c r="A19" s="25"/>
      <c r="B19" s="25"/>
      <c r="C19" s="26" t="s">
        <v>404</v>
      </c>
      <c r="D19" s="28" t="s">
        <v>550</v>
      </c>
      <c r="E19" s="26" t="s">
        <v>413</v>
      </c>
      <c r="F19" s="26" t="s">
        <v>555</v>
      </c>
      <c r="G19" s="26" t="s">
        <v>555</v>
      </c>
      <c r="H19" s="26"/>
      <c r="I19" s="26"/>
      <c r="J19" s="26"/>
      <c r="K19" s="28" t="s">
        <v>556</v>
      </c>
      <c r="L19" s="27"/>
    </row>
    <row r="20" spans="1:12">
      <c r="A20" s="25"/>
      <c r="B20" s="25"/>
      <c r="C20" s="26" t="s">
        <v>404</v>
      </c>
      <c r="D20" s="28" t="s">
        <v>549</v>
      </c>
      <c r="E20" s="26" t="s">
        <v>414</v>
      </c>
      <c r="F20" s="26" t="s">
        <v>555</v>
      </c>
      <c r="G20" s="26" t="s">
        <v>555</v>
      </c>
      <c r="H20" s="26"/>
      <c r="I20" s="26"/>
      <c r="J20" s="26"/>
      <c r="K20" s="28" t="s">
        <v>556</v>
      </c>
      <c r="L20" s="27"/>
    </row>
    <row r="21" spans="1:12">
      <c r="A21" s="25"/>
      <c r="B21" s="25"/>
      <c r="C21" s="26" t="s">
        <v>404</v>
      </c>
      <c r="D21" s="28" t="s">
        <v>549</v>
      </c>
      <c r="E21" s="26" t="s">
        <v>415</v>
      </c>
      <c r="F21" s="26" t="s">
        <v>555</v>
      </c>
      <c r="G21" s="26" t="s">
        <v>555</v>
      </c>
      <c r="H21" s="26"/>
      <c r="I21" s="26"/>
      <c r="J21" s="26"/>
      <c r="K21" s="28" t="s">
        <v>556</v>
      </c>
      <c r="L21" s="27"/>
    </row>
  </sheetData>
  <phoneticPr fontId="1" type="noConversion"/>
  <conditionalFormatting sqref="A1:B2 C1:L21">
    <cfRule type="containsText" dxfId="73" priority="3" operator="containsText" text="TBD">
      <formula>NOT(ISERROR(SEARCH("TBD",A1)))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9EA2-903F-4015-A9CD-694DF7C0A335}">
  <dimension ref="A1:N8"/>
  <sheetViews>
    <sheetView workbookViewId="0">
      <selection activeCell="C6" sqref="C6:C10"/>
    </sheetView>
  </sheetViews>
  <sheetFormatPr defaultRowHeight="17"/>
  <cols>
    <col min="1" max="1" width="12.5" bestFit="1" customWidth="1"/>
    <col min="2" max="2" width="41.75" bestFit="1" customWidth="1"/>
    <col min="3" max="3" width="26.08203125" bestFit="1" customWidth="1"/>
    <col min="4" max="4" width="24.33203125" bestFit="1" customWidth="1"/>
    <col min="5" max="5" width="27" customWidth="1"/>
    <col min="6" max="6" width="10" bestFit="1" customWidth="1"/>
    <col min="7" max="7" width="18.83203125" bestFit="1" customWidth="1"/>
    <col min="8" max="8" width="19.33203125" bestFit="1" customWidth="1"/>
    <col min="9" max="9" width="16.08203125" bestFit="1" customWidth="1"/>
    <col min="10" max="10" width="39.9140625" bestFit="1" customWidth="1"/>
    <col min="11" max="11" width="12.9140625" bestFit="1" customWidth="1"/>
    <col min="12" max="12" width="14.08203125" bestFit="1" customWidth="1"/>
    <col min="13" max="13" width="21.9140625" bestFit="1" customWidth="1"/>
    <col min="14" max="14" width="36.1640625" bestFit="1" customWidth="1"/>
  </cols>
  <sheetData>
    <row r="1" spans="1:14">
      <c r="A1" s="41" t="s">
        <v>402</v>
      </c>
      <c r="B1" s="41" t="s">
        <v>543</v>
      </c>
      <c r="C1" s="41" t="s">
        <v>544</v>
      </c>
      <c r="D1" s="41" t="s">
        <v>553</v>
      </c>
      <c r="E1" s="41" t="s">
        <v>534</v>
      </c>
      <c r="F1" s="41" t="s">
        <v>533</v>
      </c>
      <c r="G1" s="41" t="s">
        <v>532</v>
      </c>
      <c r="H1" s="41" t="s">
        <v>531</v>
      </c>
      <c r="I1" s="41" t="s">
        <v>530</v>
      </c>
      <c r="J1" s="41" t="s">
        <v>529</v>
      </c>
      <c r="K1" s="41" t="s">
        <v>528</v>
      </c>
      <c r="L1" s="41" t="s">
        <v>527</v>
      </c>
      <c r="M1" s="41" t="s">
        <v>526</v>
      </c>
      <c r="N1" s="41" t="s">
        <v>14</v>
      </c>
    </row>
    <row r="2" spans="1:14">
      <c r="A2" s="38" t="s">
        <v>525</v>
      </c>
      <c r="B2" s="38" t="s">
        <v>524</v>
      </c>
      <c r="C2" s="38" t="s">
        <v>523</v>
      </c>
      <c r="D2" s="38" t="s">
        <v>522</v>
      </c>
      <c r="E2" s="38" t="s">
        <v>491</v>
      </c>
      <c r="F2" s="38" t="s">
        <v>499</v>
      </c>
      <c r="G2" s="38" t="s">
        <v>521</v>
      </c>
      <c r="H2" s="38" t="s">
        <v>521</v>
      </c>
      <c r="I2" s="38">
        <v>11708421</v>
      </c>
      <c r="J2" s="38" t="s">
        <v>563</v>
      </c>
      <c r="K2" s="39">
        <v>46148</v>
      </c>
      <c r="L2" s="38" t="s">
        <v>564</v>
      </c>
      <c r="M2" s="38" t="s">
        <v>564</v>
      </c>
      <c r="N2" s="38" t="s">
        <v>520</v>
      </c>
    </row>
    <row r="3" spans="1:14">
      <c r="A3" s="38" t="s">
        <v>513</v>
      </c>
      <c r="B3" s="38" t="s">
        <v>519</v>
      </c>
      <c r="C3" s="38" t="s">
        <v>518</v>
      </c>
      <c r="D3" s="38" t="s">
        <v>517</v>
      </c>
      <c r="E3" s="38" t="s">
        <v>491</v>
      </c>
      <c r="F3" s="38" t="s">
        <v>516</v>
      </c>
      <c r="G3" s="38" t="s">
        <v>515</v>
      </c>
      <c r="H3" s="38" t="s">
        <v>515</v>
      </c>
      <c r="I3" s="38" t="s">
        <v>514</v>
      </c>
      <c r="J3" s="38" t="s">
        <v>563</v>
      </c>
      <c r="K3" s="39">
        <v>46148</v>
      </c>
      <c r="L3" s="38" t="s">
        <v>564</v>
      </c>
      <c r="M3" s="38" t="s">
        <v>564</v>
      </c>
      <c r="N3" s="38"/>
    </row>
    <row r="4" spans="1:14">
      <c r="A4" s="38" t="s">
        <v>513</v>
      </c>
      <c r="B4" s="38" t="s">
        <v>512</v>
      </c>
      <c r="C4" s="38" t="s">
        <v>511</v>
      </c>
      <c r="D4" s="38" t="s">
        <v>510</v>
      </c>
      <c r="E4" s="38" t="s">
        <v>491</v>
      </c>
      <c r="F4" s="38" t="s">
        <v>499</v>
      </c>
      <c r="G4" s="38" t="s">
        <v>509</v>
      </c>
      <c r="H4" s="38" t="s">
        <v>509</v>
      </c>
      <c r="I4" s="38" t="s">
        <v>508</v>
      </c>
      <c r="J4" s="38" t="s">
        <v>563</v>
      </c>
      <c r="K4" s="39">
        <v>46148</v>
      </c>
      <c r="L4" s="38" t="s">
        <v>564</v>
      </c>
      <c r="M4" s="38" t="s">
        <v>564</v>
      </c>
      <c r="N4" s="38"/>
    </row>
    <row r="5" spans="1:14">
      <c r="A5" s="38" t="s">
        <v>507</v>
      </c>
      <c r="B5" s="38" t="s">
        <v>506</v>
      </c>
      <c r="C5" s="38" t="s">
        <v>505</v>
      </c>
      <c r="D5" s="38" t="s">
        <v>504</v>
      </c>
      <c r="E5" s="38" t="s">
        <v>491</v>
      </c>
      <c r="F5" s="38" t="s">
        <v>490</v>
      </c>
      <c r="G5" s="38" t="s">
        <v>503</v>
      </c>
      <c r="H5" s="38" t="s">
        <v>503</v>
      </c>
      <c r="I5" s="38">
        <v>14796449</v>
      </c>
      <c r="J5" s="38" t="s">
        <v>563</v>
      </c>
      <c r="K5" s="39">
        <v>46148</v>
      </c>
      <c r="L5" s="38" t="s">
        <v>564</v>
      </c>
      <c r="M5" s="38" t="s">
        <v>564</v>
      </c>
      <c r="N5" s="38"/>
    </row>
    <row r="6" spans="1:14" ht="34">
      <c r="A6" s="38" t="s">
        <v>495</v>
      </c>
      <c r="B6" s="38" t="s">
        <v>502</v>
      </c>
      <c r="C6" s="38" t="s">
        <v>501</v>
      </c>
      <c r="D6" s="38" t="s">
        <v>500</v>
      </c>
      <c r="E6" s="38" t="s">
        <v>491</v>
      </c>
      <c r="F6" s="38" t="s">
        <v>499</v>
      </c>
      <c r="G6" s="38" t="s">
        <v>498</v>
      </c>
      <c r="H6" s="38" t="s">
        <v>497</v>
      </c>
      <c r="I6" s="38">
        <v>38042966</v>
      </c>
      <c r="J6" s="38" t="s">
        <v>563</v>
      </c>
      <c r="K6" s="39">
        <v>46148</v>
      </c>
      <c r="L6" s="38" t="s">
        <v>564</v>
      </c>
      <c r="M6" s="38" t="s">
        <v>564</v>
      </c>
      <c r="N6" s="40" t="s">
        <v>496</v>
      </c>
    </row>
    <row r="7" spans="1:14">
      <c r="A7" s="38" t="s">
        <v>495</v>
      </c>
      <c r="B7" s="38" t="s">
        <v>494</v>
      </c>
      <c r="C7" s="38" t="s">
        <v>493</v>
      </c>
      <c r="D7" s="38" t="s">
        <v>492</v>
      </c>
      <c r="E7" s="38" t="s">
        <v>491</v>
      </c>
      <c r="F7" s="38" t="s">
        <v>490</v>
      </c>
      <c r="G7" s="38" t="s">
        <v>489</v>
      </c>
      <c r="H7" s="38" t="s">
        <v>488</v>
      </c>
      <c r="I7" s="38">
        <v>24795388</v>
      </c>
      <c r="J7" s="38" t="s">
        <v>563</v>
      </c>
      <c r="K7" s="39">
        <v>46148</v>
      </c>
      <c r="L7" s="38" t="s">
        <v>564</v>
      </c>
      <c r="M7" s="38" t="s">
        <v>564</v>
      </c>
      <c r="N7" s="38"/>
    </row>
    <row r="8" spans="1:14">
      <c r="A8" s="26" t="s">
        <v>400</v>
      </c>
      <c r="B8" s="26" t="s">
        <v>566</v>
      </c>
      <c r="C8" s="28" t="s">
        <v>403</v>
      </c>
      <c r="D8" s="29" t="s">
        <v>401</v>
      </c>
    </row>
  </sheetData>
  <phoneticPr fontId="1" type="noConversion"/>
  <conditionalFormatting sqref="A8:D8">
    <cfRule type="containsText" dxfId="72" priority="1" operator="containsText" text="TBD">
      <formula>NOT(ISERROR(SEARCH("TBD",A8)))</formula>
    </cfRule>
  </conditionalFormatting>
  <hyperlinks>
    <hyperlink ref="N6" r:id="rId1" display="http://tplinkwifi.net" xr:uid="{D1A5DE6C-C1C1-4ED7-B501-F9E59C6D44B8}"/>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7AB8-9EE7-4A35-B08E-6B0C9A89D789}">
  <dimension ref="A1:K25"/>
  <sheetViews>
    <sheetView topLeftCell="E1" zoomScale="55" workbookViewId="0">
      <selection activeCell="J14" sqref="J14"/>
    </sheetView>
  </sheetViews>
  <sheetFormatPr defaultColWidth="17.5" defaultRowHeight="17"/>
  <cols>
    <col min="1" max="1" width="60.6640625" bestFit="1" customWidth="1"/>
    <col min="2" max="2" width="68" bestFit="1" customWidth="1"/>
    <col min="3" max="3" width="30.58203125" bestFit="1" customWidth="1"/>
    <col min="4" max="4" width="61.75" bestFit="1" customWidth="1"/>
    <col min="5" max="5" width="31.6640625" bestFit="1" customWidth="1"/>
    <col min="6" max="6" width="63.6640625" customWidth="1"/>
    <col min="7" max="7" width="9" bestFit="1" customWidth="1"/>
    <col min="8" max="8" width="32.83203125" bestFit="1" customWidth="1"/>
    <col min="9" max="9" width="50.6640625" bestFit="1" customWidth="1"/>
    <col min="10" max="10" width="58.4140625" customWidth="1"/>
    <col min="11" max="11" width="60.5" bestFit="1" customWidth="1"/>
    <col min="12" max="12" width="49.33203125" customWidth="1"/>
    <col min="14" max="14" width="26.58203125" bestFit="1" customWidth="1"/>
  </cols>
  <sheetData>
    <row r="1" spans="1:11">
      <c r="A1" s="42" t="s">
        <v>582</v>
      </c>
      <c r="B1" s="42" t="s">
        <v>588</v>
      </c>
      <c r="C1" s="42" t="s">
        <v>589</v>
      </c>
      <c r="D1" s="42" t="s">
        <v>590</v>
      </c>
      <c r="E1" s="42" t="s">
        <v>591</v>
      </c>
      <c r="F1" s="42" t="s">
        <v>604</v>
      </c>
      <c r="G1" s="42" t="s">
        <v>593</v>
      </c>
      <c r="H1" s="37"/>
      <c r="I1" s="37"/>
    </row>
    <row r="2" spans="1:11">
      <c r="C2" s="37"/>
      <c r="D2" s="37"/>
      <c r="E2" s="37"/>
      <c r="F2" s="37"/>
      <c r="G2" s="37"/>
      <c r="H2" s="37"/>
      <c r="I2" s="37"/>
      <c r="J2" s="37"/>
      <c r="K2" s="37"/>
    </row>
    <row r="3" spans="1:11">
      <c r="A3" s="37"/>
      <c r="B3" s="37"/>
      <c r="C3" s="37"/>
      <c r="D3" s="37"/>
      <c r="E3" s="37"/>
    </row>
    <row r="4" spans="1:11">
      <c r="A4" s="37"/>
      <c r="B4" s="37"/>
      <c r="C4" s="37"/>
      <c r="D4" s="37"/>
      <c r="E4" s="37"/>
    </row>
    <row r="5" spans="1:11">
      <c r="A5" s="20" t="s">
        <v>536</v>
      </c>
      <c r="B5" s="20" t="s">
        <v>578</v>
      </c>
      <c r="C5" s="20" t="s">
        <v>577</v>
      </c>
      <c r="D5" s="21" t="s">
        <v>416</v>
      </c>
      <c r="E5" s="21" t="s">
        <v>592</v>
      </c>
      <c r="F5" s="23" t="s">
        <v>470</v>
      </c>
    </row>
    <row r="6" spans="1:11">
      <c r="A6" s="26"/>
      <c r="B6" s="26"/>
      <c r="C6" s="12"/>
      <c r="D6" s="12"/>
      <c r="E6" s="26"/>
      <c r="F6" s="12"/>
    </row>
    <row r="7" spans="1:11">
      <c r="A7" s="26"/>
      <c r="B7" s="26"/>
      <c r="C7" s="12"/>
      <c r="D7" s="12"/>
      <c r="E7" s="26"/>
      <c r="F7" s="12"/>
    </row>
    <row r="8" spans="1:11">
      <c r="A8" s="26"/>
      <c r="B8" s="26"/>
      <c r="C8" s="12"/>
      <c r="D8" s="12"/>
      <c r="E8" s="28" t="s">
        <v>538</v>
      </c>
      <c r="F8" s="12"/>
    </row>
    <row r="9" spans="1:11">
      <c r="A9" s="26"/>
      <c r="B9" s="26"/>
      <c r="C9" s="12"/>
      <c r="D9" s="12"/>
      <c r="E9" s="26"/>
      <c r="F9" s="12"/>
    </row>
    <row r="10" spans="1:11">
      <c r="A10" s="26"/>
      <c r="B10" s="26"/>
      <c r="C10" s="12"/>
      <c r="D10" s="12"/>
      <c r="E10" s="26"/>
      <c r="F10" s="12"/>
    </row>
    <row r="11" spans="1:11">
      <c r="A11" s="26"/>
      <c r="B11" s="26"/>
      <c r="C11" s="12"/>
      <c r="D11" s="12"/>
      <c r="E11" s="26"/>
      <c r="F11" s="12"/>
    </row>
    <row r="12" spans="1:11">
      <c r="A12" s="26"/>
      <c r="B12" s="26"/>
      <c r="C12" s="12"/>
      <c r="D12" s="12"/>
      <c r="E12" s="26"/>
      <c r="F12" s="12"/>
    </row>
    <row r="13" spans="1:11">
      <c r="A13" s="26"/>
      <c r="B13" s="26" t="s">
        <v>601</v>
      </c>
      <c r="C13" s="12"/>
      <c r="D13" s="12"/>
      <c r="E13" s="26"/>
      <c r="F13" s="12"/>
    </row>
    <row r="14" spans="1:11" ht="119">
      <c r="A14" s="26" t="s">
        <v>602</v>
      </c>
      <c r="B14" s="13" t="s">
        <v>585</v>
      </c>
      <c r="C14" s="13" t="s">
        <v>557</v>
      </c>
      <c r="D14" s="17" t="s">
        <v>558</v>
      </c>
      <c r="E14" s="12" t="s">
        <v>471</v>
      </c>
      <c r="F14" s="12" t="s">
        <v>464</v>
      </c>
      <c r="I14" s="43"/>
      <c r="J14" t="s">
        <v>626</v>
      </c>
    </row>
    <row r="15" spans="1:11" ht="102">
      <c r="A15" s="26"/>
      <c r="B15" s="13" t="s">
        <v>597</v>
      </c>
      <c r="C15" s="14" t="s">
        <v>377</v>
      </c>
      <c r="D15" s="12" t="s">
        <v>559</v>
      </c>
      <c r="E15" s="12" t="s">
        <v>466</v>
      </c>
      <c r="F15" s="12" t="s">
        <v>542</v>
      </c>
    </row>
    <row r="16" spans="1:11" ht="153">
      <c r="A16" s="26"/>
      <c r="B16" s="13" t="s">
        <v>598</v>
      </c>
      <c r="C16" s="14" t="s">
        <v>380</v>
      </c>
      <c r="D16" s="12" t="s">
        <v>560</v>
      </c>
      <c r="E16" s="12" t="s">
        <v>465</v>
      </c>
      <c r="F16" s="12" t="s">
        <v>469</v>
      </c>
    </row>
    <row r="17" spans="1:6" ht="170">
      <c r="A17" s="26"/>
      <c r="B17" s="13" t="s">
        <v>599</v>
      </c>
      <c r="C17" s="14" t="s">
        <v>379</v>
      </c>
      <c r="D17" s="12" t="s">
        <v>561</v>
      </c>
      <c r="E17" s="12" t="s">
        <v>468</v>
      </c>
      <c r="F17" s="12" t="s">
        <v>394</v>
      </c>
    </row>
    <row r="18" spans="1:6" ht="102">
      <c r="A18" s="26"/>
      <c r="B18" s="14" t="s">
        <v>600</v>
      </c>
      <c r="C18" s="19"/>
      <c r="D18" s="12" t="s">
        <v>562</v>
      </c>
      <c r="E18" s="12" t="s">
        <v>467</v>
      </c>
      <c r="F18" s="12" t="s">
        <v>396</v>
      </c>
    </row>
    <row r="19" spans="1:6">
      <c r="A19" s="26" t="s">
        <v>555</v>
      </c>
      <c r="B19" s="26"/>
      <c r="C19" s="26"/>
      <c r="D19" s="12"/>
      <c r="E19" s="28" t="s">
        <v>556</v>
      </c>
      <c r="F19" s="27"/>
    </row>
    <row r="20" spans="1:6">
      <c r="A20" s="26" t="s">
        <v>555</v>
      </c>
      <c r="B20" s="26"/>
      <c r="C20" s="26"/>
      <c r="D20" s="12"/>
      <c r="E20" s="28" t="s">
        <v>556</v>
      </c>
      <c r="F20" s="27"/>
    </row>
    <row r="21" spans="1:6">
      <c r="A21" s="26" t="s">
        <v>555</v>
      </c>
      <c r="B21" s="26"/>
      <c r="C21" s="26"/>
      <c r="D21" s="12"/>
      <c r="E21" s="28" t="s">
        <v>556</v>
      </c>
      <c r="F21" s="27"/>
    </row>
    <row r="22" spans="1:6">
      <c r="A22" s="26" t="s">
        <v>555</v>
      </c>
      <c r="B22" s="26"/>
      <c r="C22" s="26"/>
      <c r="D22" s="12"/>
      <c r="E22" s="28" t="s">
        <v>556</v>
      </c>
      <c r="F22" s="27"/>
    </row>
    <row r="23" spans="1:6">
      <c r="A23" s="26" t="s">
        <v>555</v>
      </c>
      <c r="B23" s="26"/>
      <c r="C23" s="26"/>
      <c r="D23" s="26"/>
      <c r="E23" s="28" t="s">
        <v>556</v>
      </c>
      <c r="F23" s="27"/>
    </row>
    <row r="24" spans="1:6">
      <c r="A24" s="26" t="s">
        <v>555</v>
      </c>
      <c r="B24" s="26"/>
      <c r="C24" s="26"/>
      <c r="D24" s="26"/>
      <c r="E24" s="28" t="s">
        <v>556</v>
      </c>
      <c r="F24" s="27"/>
    </row>
    <row r="25" spans="1:6">
      <c r="A25" s="26" t="s">
        <v>555</v>
      </c>
      <c r="B25" s="26"/>
      <c r="C25" s="26"/>
      <c r="D25" s="26"/>
      <c r="E25" s="28" t="s">
        <v>556</v>
      </c>
      <c r="F25" s="27"/>
    </row>
  </sheetData>
  <phoneticPr fontId="1" type="noConversion"/>
  <conditionalFormatting sqref="A5:F25">
    <cfRule type="containsText" dxfId="71" priority="3" operator="containsText" text="TBD">
      <formula>NOT(ISERROR(SEARCH("TBD",A5)))</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033C-925C-4ABA-B39C-3AB8DF7B0920}">
  <dimension ref="A1:K216"/>
  <sheetViews>
    <sheetView zoomScale="45" zoomScaleNormal="25" workbookViewId="0">
      <selection activeCell="D6" sqref="D6:D10"/>
    </sheetView>
  </sheetViews>
  <sheetFormatPr defaultColWidth="52.9140625" defaultRowHeight="17"/>
  <cols>
    <col min="1" max="1" width="15.9140625" customWidth="1"/>
    <col min="2" max="2" width="27.58203125" bestFit="1" customWidth="1"/>
    <col min="3" max="3" width="52.6640625" bestFit="1" customWidth="1"/>
    <col min="4" max="4" width="81.83203125" customWidth="1"/>
    <col min="5" max="5" width="22.33203125" bestFit="1" customWidth="1"/>
    <col min="6" max="6" width="50.33203125" customWidth="1"/>
    <col min="7" max="7" width="110.25" customWidth="1"/>
    <col min="8" max="8" width="185.83203125" customWidth="1"/>
    <col min="9" max="9" width="52.5" bestFit="1" customWidth="1"/>
    <col min="10" max="10" width="40.5" customWidth="1"/>
    <col min="11" max="11" width="85.4140625" customWidth="1"/>
  </cols>
  <sheetData>
    <row r="1" spans="1:11" ht="17.5" thickBot="1">
      <c r="A1" s="4" t="s">
        <v>418</v>
      </c>
      <c r="B1" s="5" t="s">
        <v>11</v>
      </c>
      <c r="C1" s="5" t="s">
        <v>12</v>
      </c>
      <c r="D1" s="5" t="s">
        <v>13</v>
      </c>
      <c r="E1" s="22" t="s">
        <v>422</v>
      </c>
      <c r="F1" s="22" t="s">
        <v>408</v>
      </c>
      <c r="G1" s="22" t="s">
        <v>576</v>
      </c>
      <c r="H1" s="22" t="s">
        <v>579</v>
      </c>
      <c r="I1" s="5" t="s">
        <v>14</v>
      </c>
      <c r="J1" s="5" t="s">
        <v>15</v>
      </c>
      <c r="K1" s="5" t="s">
        <v>16</v>
      </c>
    </row>
    <row r="2" spans="1:11" ht="68.5" thickBot="1">
      <c r="A2" s="47" t="s">
        <v>438</v>
      </c>
      <c r="B2" s="47" t="s">
        <v>18</v>
      </c>
      <c r="C2" s="44" t="s">
        <v>357</v>
      </c>
      <c r="D2" s="44" t="s">
        <v>19</v>
      </c>
      <c r="E2" s="47" t="s">
        <v>473</v>
      </c>
      <c r="F2" s="44" t="s">
        <v>567</v>
      </c>
      <c r="G2" s="3" t="s">
        <v>20</v>
      </c>
      <c r="H2" s="3" t="s">
        <v>359</v>
      </c>
      <c r="I2" s="44" t="s">
        <v>21</v>
      </c>
      <c r="J2" s="44" t="s">
        <v>22</v>
      </c>
      <c r="K2" s="6" t="s">
        <v>439</v>
      </c>
    </row>
    <row r="3" spans="1:11" ht="17.5" thickBot="1">
      <c r="A3" s="48"/>
      <c r="B3" s="48"/>
      <c r="C3" s="45"/>
      <c r="D3" s="45"/>
      <c r="E3" s="48"/>
      <c r="F3" s="45"/>
      <c r="G3" s="3" t="s">
        <v>358</v>
      </c>
      <c r="H3" s="3" t="s">
        <v>24</v>
      </c>
      <c r="I3" s="45"/>
      <c r="J3" s="45"/>
      <c r="K3" s="7"/>
    </row>
    <row r="4" spans="1:11" ht="85.5" thickBot="1">
      <c r="A4" s="49"/>
      <c r="B4" s="49"/>
      <c r="C4" s="46"/>
      <c r="D4" s="46"/>
      <c r="E4" s="49"/>
      <c r="F4" s="46"/>
      <c r="G4" s="3" t="s">
        <v>25</v>
      </c>
      <c r="H4" s="3" t="s">
        <v>26</v>
      </c>
      <c r="I4" s="46"/>
      <c r="J4" s="46"/>
      <c r="K4" s="7"/>
    </row>
    <row r="5" spans="1:11" ht="136.5" thickBot="1">
      <c r="A5" s="2" t="s">
        <v>27</v>
      </c>
      <c r="B5" s="8" t="s">
        <v>28</v>
      </c>
      <c r="C5" s="3" t="s">
        <v>29</v>
      </c>
      <c r="D5" s="3" t="s">
        <v>30</v>
      </c>
      <c r="E5" s="2" t="s">
        <v>474</v>
      </c>
      <c r="F5" s="3" t="s">
        <v>594</v>
      </c>
      <c r="G5" s="3" t="s">
        <v>31</v>
      </c>
      <c r="H5" s="3" t="s">
        <v>32</v>
      </c>
      <c r="I5" s="3" t="s">
        <v>33</v>
      </c>
      <c r="J5" s="3" t="s">
        <v>34</v>
      </c>
      <c r="K5" s="7"/>
    </row>
    <row r="6" spans="1:11" ht="153.5" thickBot="1">
      <c r="A6" s="47" t="s">
        <v>35</v>
      </c>
      <c r="B6" s="47" t="s">
        <v>36</v>
      </c>
      <c r="C6" s="44" t="s">
        <v>37</v>
      </c>
      <c r="D6" s="44" t="s">
        <v>38</v>
      </c>
      <c r="E6" s="47" t="s">
        <v>475</v>
      </c>
      <c r="F6" s="44" t="s">
        <v>486</v>
      </c>
      <c r="G6" s="3" t="s">
        <v>39</v>
      </c>
      <c r="H6" s="3" t="s">
        <v>40</v>
      </c>
      <c r="I6" s="44" t="s">
        <v>41</v>
      </c>
      <c r="J6" s="44" t="s">
        <v>34</v>
      </c>
      <c r="K6" s="7"/>
    </row>
    <row r="7" spans="1:11" ht="34.5" thickBot="1">
      <c r="A7" s="48"/>
      <c r="B7" s="48"/>
      <c r="C7" s="45"/>
      <c r="D7" s="45"/>
      <c r="E7" s="48"/>
      <c r="F7" s="45"/>
      <c r="G7" s="3" t="s">
        <v>42</v>
      </c>
      <c r="H7" s="3" t="s">
        <v>43</v>
      </c>
      <c r="I7" s="45"/>
      <c r="J7" s="45"/>
      <c r="K7" s="7"/>
    </row>
    <row r="8" spans="1:11" ht="17.5" thickBot="1">
      <c r="A8" s="48"/>
      <c r="B8" s="48"/>
      <c r="C8" s="45"/>
      <c r="D8" s="45"/>
      <c r="E8" s="48"/>
      <c r="F8" s="45"/>
      <c r="G8" s="3" t="s">
        <v>44</v>
      </c>
      <c r="H8" s="3" t="s">
        <v>45</v>
      </c>
      <c r="I8" s="45"/>
      <c r="J8" s="45"/>
      <c r="K8" s="7"/>
    </row>
    <row r="9" spans="1:11" ht="34.5" thickBot="1">
      <c r="A9" s="48"/>
      <c r="B9" s="48"/>
      <c r="C9" s="45"/>
      <c r="D9" s="45"/>
      <c r="E9" s="48"/>
      <c r="F9" s="45"/>
      <c r="G9" s="3" t="s">
        <v>46</v>
      </c>
      <c r="H9" s="3" t="s">
        <v>47</v>
      </c>
      <c r="I9" s="45"/>
      <c r="J9" s="45"/>
      <c r="K9" s="7"/>
    </row>
    <row r="10" spans="1:11" ht="34.5" thickBot="1">
      <c r="A10" s="49"/>
      <c r="B10" s="49"/>
      <c r="C10" s="46"/>
      <c r="D10" s="46"/>
      <c r="E10" s="49"/>
      <c r="F10" s="46"/>
      <c r="G10" s="3" t="s">
        <v>48</v>
      </c>
      <c r="H10" s="3" t="s">
        <v>49</v>
      </c>
      <c r="I10" s="46"/>
      <c r="J10" s="46"/>
      <c r="K10" s="7"/>
    </row>
    <row r="11" spans="1:11" ht="153.5" thickBot="1">
      <c r="A11" s="47" t="s">
        <v>50</v>
      </c>
      <c r="B11" s="47" t="s">
        <v>51</v>
      </c>
      <c r="C11" s="44" t="s">
        <v>52</v>
      </c>
      <c r="D11" s="44" t="s">
        <v>38</v>
      </c>
      <c r="E11" s="47" t="s">
        <v>476</v>
      </c>
      <c r="F11" s="44" t="s">
        <v>486</v>
      </c>
      <c r="G11" s="3" t="s">
        <v>53</v>
      </c>
      <c r="H11" s="3" t="s">
        <v>40</v>
      </c>
      <c r="I11" s="44" t="s">
        <v>41</v>
      </c>
      <c r="J11" s="44" t="s">
        <v>34</v>
      </c>
      <c r="K11" s="7"/>
    </row>
    <row r="12" spans="1:11" ht="34.5" thickBot="1">
      <c r="A12" s="48"/>
      <c r="B12" s="48"/>
      <c r="C12" s="45"/>
      <c r="D12" s="45"/>
      <c r="E12" s="48"/>
      <c r="F12" s="45"/>
      <c r="G12" s="3" t="s">
        <v>54</v>
      </c>
      <c r="H12" s="3" t="s">
        <v>55</v>
      </c>
      <c r="I12" s="45"/>
      <c r="J12" s="45"/>
      <c r="K12" s="7"/>
    </row>
    <row r="13" spans="1:11" ht="119.5" thickBot="1">
      <c r="A13" s="48"/>
      <c r="B13" s="48"/>
      <c r="C13" s="45"/>
      <c r="D13" s="45"/>
      <c r="E13" s="48"/>
      <c r="F13" s="45"/>
      <c r="G13" s="3" t="s">
        <v>46</v>
      </c>
      <c r="H13" s="3" t="s">
        <v>435</v>
      </c>
      <c r="I13" s="45"/>
      <c r="J13" s="45"/>
      <c r="K13" s="7"/>
    </row>
    <row r="14" spans="1:11" ht="34.5" thickBot="1">
      <c r="A14" s="49"/>
      <c r="B14" s="49"/>
      <c r="C14" s="46"/>
      <c r="D14" s="46"/>
      <c r="E14" s="49"/>
      <c r="F14" s="46"/>
      <c r="G14" s="3" t="s">
        <v>48</v>
      </c>
      <c r="H14" s="3" t="s">
        <v>49</v>
      </c>
      <c r="I14" s="46"/>
      <c r="J14" s="46"/>
      <c r="K14" s="7"/>
    </row>
    <row r="15" spans="1:11" ht="68.5" thickBot="1">
      <c r="A15" s="47" t="s">
        <v>56</v>
      </c>
      <c r="B15" s="47" t="s">
        <v>57</v>
      </c>
      <c r="C15" s="44" t="s">
        <v>58</v>
      </c>
      <c r="D15" s="44" t="s">
        <v>59</v>
      </c>
      <c r="E15" s="47" t="s">
        <v>477</v>
      </c>
      <c r="F15" s="44" t="s">
        <v>486</v>
      </c>
      <c r="G15" s="3" t="s">
        <v>60</v>
      </c>
      <c r="H15" s="3" t="s">
        <v>61</v>
      </c>
      <c r="I15" s="44" t="s">
        <v>62</v>
      </c>
      <c r="J15" s="44" t="s">
        <v>63</v>
      </c>
      <c r="K15" s="7"/>
    </row>
    <row r="16" spans="1:11" ht="255.5" thickBot="1">
      <c r="A16" s="49"/>
      <c r="B16" s="49"/>
      <c r="C16" s="46"/>
      <c r="D16" s="46"/>
      <c r="E16" s="49"/>
      <c r="F16" s="46"/>
      <c r="G16" s="3" t="s">
        <v>64</v>
      </c>
      <c r="H16" s="3" t="s">
        <v>419</v>
      </c>
      <c r="I16" s="46"/>
      <c r="J16" s="46"/>
      <c r="K16" s="7"/>
    </row>
    <row r="17" spans="1:11" ht="68.5" thickBot="1">
      <c r="A17" s="47" t="s">
        <v>66</v>
      </c>
      <c r="B17" s="47" t="s">
        <v>67</v>
      </c>
      <c r="C17" s="44" t="s">
        <v>68</v>
      </c>
      <c r="D17" s="44" t="s">
        <v>59</v>
      </c>
      <c r="E17" s="47" t="s">
        <v>478</v>
      </c>
      <c r="F17" s="44" t="s">
        <v>486</v>
      </c>
      <c r="G17" s="3" t="s">
        <v>69</v>
      </c>
      <c r="H17" s="3" t="s">
        <v>70</v>
      </c>
      <c r="I17" s="44" t="s">
        <v>62</v>
      </c>
      <c r="J17" s="44" t="s">
        <v>63</v>
      </c>
      <c r="K17" s="7"/>
    </row>
    <row r="18" spans="1:11" ht="221.5" thickBot="1">
      <c r="A18" s="49"/>
      <c r="B18" s="49"/>
      <c r="C18" s="46"/>
      <c r="D18" s="46"/>
      <c r="E18" s="49"/>
      <c r="F18" s="46"/>
      <c r="G18" s="3" t="s">
        <v>71</v>
      </c>
      <c r="H18" s="3" t="s">
        <v>420</v>
      </c>
      <c r="I18" s="46"/>
      <c r="J18" s="46"/>
      <c r="K18" s="7"/>
    </row>
    <row r="19" spans="1:11" ht="68.5" thickBot="1">
      <c r="A19" s="47" t="s">
        <v>72</v>
      </c>
      <c r="B19" s="47" t="s">
        <v>73</v>
      </c>
      <c r="C19" s="44" t="s">
        <v>74</v>
      </c>
      <c r="D19" s="44" t="s">
        <v>59</v>
      </c>
      <c r="E19" s="47" t="s">
        <v>479</v>
      </c>
      <c r="F19" s="44" t="s">
        <v>486</v>
      </c>
      <c r="G19" s="3" t="s">
        <v>75</v>
      </c>
      <c r="H19" s="3" t="s">
        <v>76</v>
      </c>
      <c r="I19" s="44" t="s">
        <v>77</v>
      </c>
      <c r="J19" s="44" t="s">
        <v>63</v>
      </c>
      <c r="K19" s="7"/>
    </row>
    <row r="20" spans="1:11" ht="221.5" thickBot="1">
      <c r="A20" s="49"/>
      <c r="B20" s="49"/>
      <c r="C20" s="46"/>
      <c r="D20" s="46"/>
      <c r="E20" s="49"/>
      <c r="F20" s="46"/>
      <c r="G20" s="3" t="s">
        <v>71</v>
      </c>
      <c r="H20" s="3" t="s">
        <v>420</v>
      </c>
      <c r="I20" s="46"/>
      <c r="J20" s="46"/>
      <c r="K20" s="7"/>
    </row>
    <row r="21" spans="1:11" ht="68.5" thickBot="1">
      <c r="A21" s="47" t="s">
        <v>78</v>
      </c>
      <c r="B21" s="47" t="s">
        <v>79</v>
      </c>
      <c r="C21" s="44" t="s">
        <v>80</v>
      </c>
      <c r="D21" s="44" t="s">
        <v>59</v>
      </c>
      <c r="E21" s="47" t="s">
        <v>480</v>
      </c>
      <c r="F21" s="44" t="s">
        <v>486</v>
      </c>
      <c r="G21" s="3" t="s">
        <v>81</v>
      </c>
      <c r="H21" s="3" t="s">
        <v>82</v>
      </c>
      <c r="I21" s="44" t="s">
        <v>83</v>
      </c>
      <c r="J21" s="44" t="s">
        <v>63</v>
      </c>
      <c r="K21" s="7"/>
    </row>
    <row r="22" spans="1:11" ht="221.5" thickBot="1">
      <c r="A22" s="49"/>
      <c r="B22" s="49"/>
      <c r="C22" s="46"/>
      <c r="D22" s="46"/>
      <c r="E22" s="49"/>
      <c r="F22" s="46"/>
      <c r="G22" s="3" t="s">
        <v>84</v>
      </c>
      <c r="H22" s="3" t="s">
        <v>420</v>
      </c>
      <c r="I22" s="46"/>
      <c r="J22" s="46"/>
      <c r="K22" s="7"/>
    </row>
    <row r="23" spans="1:11" ht="68.5" thickBot="1">
      <c r="A23" s="47" t="s">
        <v>85</v>
      </c>
      <c r="B23" s="47" t="s">
        <v>86</v>
      </c>
      <c r="C23" s="44" t="s">
        <v>87</v>
      </c>
      <c r="D23" s="44" t="s">
        <v>59</v>
      </c>
      <c r="E23" s="47" t="s">
        <v>481</v>
      </c>
      <c r="F23" s="44" t="s">
        <v>486</v>
      </c>
      <c r="G23" s="3" t="s">
        <v>88</v>
      </c>
      <c r="H23" s="3" t="s">
        <v>82</v>
      </c>
      <c r="I23" s="44" t="s">
        <v>83</v>
      </c>
      <c r="J23" s="44" t="s">
        <v>63</v>
      </c>
      <c r="K23" s="7"/>
    </row>
    <row r="24" spans="1:11" ht="34.5" thickBot="1">
      <c r="A24" s="48"/>
      <c r="B24" s="48"/>
      <c r="C24" s="45"/>
      <c r="D24" s="45"/>
      <c r="E24" s="48"/>
      <c r="F24" s="45"/>
      <c r="G24" s="3" t="s">
        <v>89</v>
      </c>
      <c r="H24" s="3" t="s">
        <v>90</v>
      </c>
      <c r="I24" s="45"/>
      <c r="J24" s="45"/>
      <c r="K24" s="7"/>
    </row>
    <row r="25" spans="1:11" ht="34.5" thickBot="1">
      <c r="A25" s="48"/>
      <c r="B25" s="48"/>
      <c r="C25" s="45"/>
      <c r="D25" s="45"/>
      <c r="E25" s="48"/>
      <c r="F25" s="45"/>
      <c r="G25" s="3" t="s">
        <v>91</v>
      </c>
      <c r="H25" s="3" t="s">
        <v>92</v>
      </c>
      <c r="I25" s="45"/>
      <c r="J25" s="45"/>
      <c r="K25" s="7"/>
    </row>
    <row r="26" spans="1:11" ht="153.5" thickBot="1">
      <c r="A26" s="49"/>
      <c r="B26" s="49"/>
      <c r="C26" s="46"/>
      <c r="D26" s="46"/>
      <c r="E26" s="49"/>
      <c r="F26" s="46"/>
      <c r="G26" s="3" t="s">
        <v>93</v>
      </c>
      <c r="H26" s="3" t="s">
        <v>65</v>
      </c>
      <c r="I26" s="46"/>
      <c r="J26" s="46"/>
      <c r="K26" s="7"/>
    </row>
    <row r="27" spans="1:11" ht="136.5" customHeight="1" thickBot="1">
      <c r="A27" s="47" t="s">
        <v>94</v>
      </c>
      <c r="B27" s="47" t="s">
        <v>95</v>
      </c>
      <c r="C27" s="50" t="s">
        <v>96</v>
      </c>
      <c r="D27" s="50" t="s">
        <v>97</v>
      </c>
      <c r="E27" s="47" t="s">
        <v>482</v>
      </c>
      <c r="F27" s="44" t="s">
        <v>486</v>
      </c>
      <c r="G27" s="3" t="s">
        <v>98</v>
      </c>
      <c r="H27" s="3" t="s">
        <v>99</v>
      </c>
      <c r="I27" s="44" t="s">
        <v>100</v>
      </c>
      <c r="J27" s="44" t="s">
        <v>101</v>
      </c>
      <c r="K27" s="3" t="s">
        <v>102</v>
      </c>
    </row>
    <row r="28" spans="1:11" ht="170.5" customHeight="1" thickBot="1">
      <c r="A28" s="48"/>
      <c r="B28" s="48"/>
      <c r="C28" s="51"/>
      <c r="D28" s="51"/>
      <c r="E28" s="48"/>
      <c r="F28" s="45"/>
      <c r="G28" s="3" t="s">
        <v>103</v>
      </c>
      <c r="H28" s="3" t="s">
        <v>104</v>
      </c>
      <c r="I28" s="45"/>
      <c r="J28" s="45"/>
      <c r="K28" s="7"/>
    </row>
    <row r="29" spans="1:11" ht="85.5" customHeight="1" thickBot="1">
      <c r="A29" s="48"/>
      <c r="B29" s="48"/>
      <c r="C29" s="51"/>
      <c r="D29" s="51"/>
      <c r="E29" s="48"/>
      <c r="F29" s="45"/>
      <c r="G29" s="3" t="s">
        <v>105</v>
      </c>
      <c r="H29" s="3" t="s">
        <v>106</v>
      </c>
      <c r="I29" s="45"/>
      <c r="J29" s="45"/>
      <c r="K29" s="7"/>
    </row>
    <row r="30" spans="1:11" ht="68.5" customHeight="1" thickBot="1">
      <c r="A30" s="48"/>
      <c r="B30" s="48"/>
      <c r="C30" s="51"/>
      <c r="D30" s="51"/>
      <c r="E30" s="48"/>
      <c r="F30" s="45"/>
      <c r="G30" s="3" t="s">
        <v>107</v>
      </c>
      <c r="H30" s="3" t="s">
        <v>108</v>
      </c>
      <c r="I30" s="45"/>
      <c r="J30" s="45"/>
      <c r="K30" s="7"/>
    </row>
    <row r="31" spans="1:11" ht="51.5" customHeight="1" thickBot="1">
      <c r="A31" s="48"/>
      <c r="B31" s="48"/>
      <c r="C31" s="51"/>
      <c r="D31" s="51"/>
      <c r="E31" s="48"/>
      <c r="F31" s="45"/>
      <c r="G31" s="3" t="s">
        <v>109</v>
      </c>
      <c r="H31" s="3" t="s">
        <v>110</v>
      </c>
      <c r="I31" s="45"/>
      <c r="J31" s="45"/>
      <c r="K31" s="7"/>
    </row>
    <row r="32" spans="1:11" ht="119.5" customHeight="1" thickBot="1">
      <c r="A32" s="48"/>
      <c r="B32" s="48"/>
      <c r="C32" s="51"/>
      <c r="D32" s="51"/>
      <c r="E32" s="48"/>
      <c r="F32" s="45"/>
      <c r="G32" s="3" t="s">
        <v>111</v>
      </c>
      <c r="H32" s="3" t="s">
        <v>112</v>
      </c>
      <c r="I32" s="45"/>
      <c r="J32" s="45"/>
      <c r="K32" s="7"/>
    </row>
    <row r="33" spans="1:11" ht="153.5" customHeight="1" thickBot="1">
      <c r="A33" s="48"/>
      <c r="B33" s="48"/>
      <c r="C33" s="51"/>
      <c r="D33" s="51"/>
      <c r="E33" s="48"/>
      <c r="F33" s="45"/>
      <c r="G33" s="3" t="s">
        <v>113</v>
      </c>
      <c r="H33" s="3" t="s">
        <v>114</v>
      </c>
      <c r="I33" s="45"/>
      <c r="J33" s="45"/>
      <c r="K33" s="7"/>
    </row>
    <row r="34" spans="1:11" ht="68.5" customHeight="1" thickBot="1">
      <c r="A34" s="48"/>
      <c r="B34" s="48"/>
      <c r="C34" s="51"/>
      <c r="D34" s="51"/>
      <c r="E34" s="48"/>
      <c r="F34" s="46"/>
      <c r="G34" s="3" t="s">
        <v>48</v>
      </c>
      <c r="H34" s="3" t="s">
        <v>115</v>
      </c>
      <c r="I34" s="46"/>
      <c r="J34" s="46"/>
      <c r="K34" s="7"/>
    </row>
    <row r="35" spans="1:11" ht="136.5" customHeight="1" thickBot="1">
      <c r="A35" s="48"/>
      <c r="B35" s="48"/>
      <c r="C35" s="51"/>
      <c r="D35" s="53"/>
      <c r="E35" s="48"/>
      <c r="F35" s="44" t="s">
        <v>486</v>
      </c>
      <c r="G35" s="3" t="s">
        <v>98</v>
      </c>
      <c r="H35" s="3" t="s">
        <v>99</v>
      </c>
      <c r="I35" s="44" t="s">
        <v>100</v>
      </c>
      <c r="J35" s="44" t="s">
        <v>101</v>
      </c>
      <c r="K35" s="3" t="s">
        <v>102</v>
      </c>
    </row>
    <row r="36" spans="1:11" ht="170.5" customHeight="1" thickBot="1">
      <c r="A36" s="48"/>
      <c r="B36" s="48"/>
      <c r="C36" s="51"/>
      <c r="D36" s="53"/>
      <c r="E36" s="48"/>
      <c r="F36" s="45"/>
      <c r="G36" s="3" t="s">
        <v>103</v>
      </c>
      <c r="H36" s="3" t="s">
        <v>104</v>
      </c>
      <c r="I36" s="45"/>
      <c r="J36" s="45"/>
      <c r="K36" s="7"/>
    </row>
    <row r="37" spans="1:11" ht="85.5" customHeight="1" thickBot="1">
      <c r="A37" s="48"/>
      <c r="B37" s="48"/>
      <c r="C37" s="51"/>
      <c r="D37" s="53"/>
      <c r="E37" s="48"/>
      <c r="F37" s="45"/>
      <c r="G37" s="3" t="s">
        <v>105</v>
      </c>
      <c r="H37" s="3" t="s">
        <v>106</v>
      </c>
      <c r="I37" s="45"/>
      <c r="J37" s="45"/>
      <c r="K37" s="7"/>
    </row>
    <row r="38" spans="1:11" ht="68.5" customHeight="1" thickBot="1">
      <c r="A38" s="48"/>
      <c r="B38" s="48"/>
      <c r="C38" s="51"/>
      <c r="D38" s="53"/>
      <c r="E38" s="48"/>
      <c r="F38" s="45"/>
      <c r="G38" s="3" t="s">
        <v>107</v>
      </c>
      <c r="H38" s="3" t="s">
        <v>108</v>
      </c>
      <c r="I38" s="45"/>
      <c r="J38" s="45"/>
      <c r="K38" s="7"/>
    </row>
    <row r="39" spans="1:11" ht="51.5" customHeight="1" thickBot="1">
      <c r="A39" s="48"/>
      <c r="B39" s="48"/>
      <c r="C39" s="51"/>
      <c r="D39" s="53"/>
      <c r="E39" s="48"/>
      <c r="F39" s="45"/>
      <c r="G39" s="3" t="s">
        <v>109</v>
      </c>
      <c r="H39" s="3" t="s">
        <v>110</v>
      </c>
      <c r="I39" s="45"/>
      <c r="J39" s="45"/>
      <c r="K39" s="7"/>
    </row>
    <row r="40" spans="1:11" ht="119.5" customHeight="1" thickBot="1">
      <c r="A40" s="48"/>
      <c r="B40" s="48"/>
      <c r="C40" s="51"/>
      <c r="D40" s="53"/>
      <c r="E40" s="48"/>
      <c r="F40" s="45"/>
      <c r="G40" s="3" t="s">
        <v>111</v>
      </c>
      <c r="H40" s="3" t="s">
        <v>112</v>
      </c>
      <c r="I40" s="45"/>
      <c r="J40" s="45"/>
      <c r="K40" s="7"/>
    </row>
    <row r="41" spans="1:11" ht="153.5" customHeight="1" thickBot="1">
      <c r="A41" s="48"/>
      <c r="B41" s="48"/>
      <c r="C41" s="51"/>
      <c r="D41" s="53"/>
      <c r="E41" s="48"/>
      <c r="F41" s="45"/>
      <c r="G41" s="3" t="s">
        <v>113</v>
      </c>
      <c r="H41" s="3" t="s">
        <v>114</v>
      </c>
      <c r="I41" s="45"/>
      <c r="J41" s="45"/>
      <c r="K41" s="7"/>
    </row>
    <row r="42" spans="1:11" ht="68.5" customHeight="1" thickBot="1">
      <c r="A42" s="49"/>
      <c r="B42" s="49"/>
      <c r="C42" s="52"/>
      <c r="D42" s="54"/>
      <c r="E42" s="49"/>
      <c r="F42" s="46"/>
      <c r="G42" s="3" t="s">
        <v>48</v>
      </c>
      <c r="H42" s="3" t="s">
        <v>115</v>
      </c>
      <c r="I42" s="46"/>
      <c r="J42" s="46"/>
      <c r="K42" s="7"/>
    </row>
    <row r="43" spans="1:11" ht="136.5" thickBot="1">
      <c r="A43" s="47" t="s">
        <v>116</v>
      </c>
      <c r="B43" s="47" t="s">
        <v>117</v>
      </c>
      <c r="C43" s="44" t="s">
        <v>118</v>
      </c>
      <c r="D43" s="44" t="s">
        <v>38</v>
      </c>
      <c r="E43" s="47" t="s">
        <v>483</v>
      </c>
      <c r="F43" s="44" t="s">
        <v>486</v>
      </c>
      <c r="G43" s="3" t="s">
        <v>119</v>
      </c>
      <c r="H43" s="3" t="s">
        <v>120</v>
      </c>
      <c r="I43" s="44" t="s">
        <v>100</v>
      </c>
      <c r="J43" s="44" t="s">
        <v>22</v>
      </c>
      <c r="K43" s="7"/>
    </row>
    <row r="44" spans="1:11" ht="51.5" thickBot="1">
      <c r="A44" s="48"/>
      <c r="B44" s="48"/>
      <c r="C44" s="45"/>
      <c r="D44" s="45"/>
      <c r="E44" s="48"/>
      <c r="F44" s="45"/>
      <c r="G44" s="3" t="s">
        <v>105</v>
      </c>
      <c r="H44" s="3" t="s">
        <v>106</v>
      </c>
      <c r="I44" s="45"/>
      <c r="J44" s="45"/>
      <c r="K44" s="9"/>
    </row>
    <row r="45" spans="1:11" ht="85.5" thickBot="1">
      <c r="A45" s="48"/>
      <c r="B45" s="48"/>
      <c r="C45" s="45"/>
      <c r="D45" s="45"/>
      <c r="E45" s="48"/>
      <c r="F45" s="45"/>
      <c r="G45" s="3" t="s">
        <v>121</v>
      </c>
      <c r="H45" s="3" t="s">
        <v>122</v>
      </c>
      <c r="I45" s="45"/>
      <c r="J45" s="45"/>
      <c r="K45" s="9"/>
    </row>
    <row r="46" spans="1:11" ht="17.5" thickBot="1">
      <c r="A46" s="48"/>
      <c r="B46" s="48"/>
      <c r="C46" s="45"/>
      <c r="D46" s="45"/>
      <c r="E46" s="48"/>
      <c r="F46" s="45"/>
      <c r="G46" s="3" t="s">
        <v>123</v>
      </c>
      <c r="H46" s="9"/>
      <c r="I46" s="45"/>
      <c r="J46" s="45"/>
      <c r="K46" s="9"/>
    </row>
    <row r="47" spans="1:11" ht="34.5" thickBot="1">
      <c r="A47" s="48"/>
      <c r="B47" s="48"/>
      <c r="C47" s="45"/>
      <c r="D47" s="45"/>
      <c r="E47" s="48"/>
      <c r="F47" s="45"/>
      <c r="G47" s="3" t="s">
        <v>107</v>
      </c>
      <c r="H47" s="3" t="s">
        <v>108</v>
      </c>
      <c r="I47" s="45"/>
      <c r="J47" s="45"/>
      <c r="K47" s="9"/>
    </row>
    <row r="48" spans="1:11" ht="17.5" thickBot="1">
      <c r="A48" s="48"/>
      <c r="B48" s="48"/>
      <c r="C48" s="45"/>
      <c r="D48" s="45"/>
      <c r="E48" s="48"/>
      <c r="F48" s="45"/>
      <c r="G48" s="3" t="s">
        <v>109</v>
      </c>
      <c r="H48" s="3" t="s">
        <v>110</v>
      </c>
      <c r="I48" s="45"/>
      <c r="J48" s="45"/>
      <c r="K48" s="9"/>
    </row>
    <row r="49" spans="1:11" ht="68.5" thickBot="1">
      <c r="A49" s="48"/>
      <c r="B49" s="48"/>
      <c r="C49" s="45"/>
      <c r="D49" s="45"/>
      <c r="E49" s="48"/>
      <c r="F49" s="45"/>
      <c r="G49" s="3" t="s">
        <v>111</v>
      </c>
      <c r="H49" s="3" t="s">
        <v>124</v>
      </c>
      <c r="I49" s="45"/>
      <c r="J49" s="45"/>
      <c r="K49" s="9"/>
    </row>
    <row r="50" spans="1:11" ht="17.5" thickBot="1">
      <c r="A50" s="49"/>
      <c r="B50" s="49"/>
      <c r="C50" s="46"/>
      <c r="D50" s="46"/>
      <c r="E50" s="49"/>
      <c r="F50" s="46"/>
      <c r="G50" s="3" t="s">
        <v>48</v>
      </c>
      <c r="H50" s="3" t="s">
        <v>115</v>
      </c>
      <c r="I50" s="46"/>
      <c r="J50" s="46"/>
      <c r="K50" s="9"/>
    </row>
    <row r="51" spans="1:11" ht="68.5" thickBot="1">
      <c r="A51" s="47" t="s">
        <v>125</v>
      </c>
      <c r="B51" s="47" t="s">
        <v>18</v>
      </c>
      <c r="C51" s="44" t="s">
        <v>126</v>
      </c>
      <c r="D51" s="44" t="s">
        <v>19</v>
      </c>
      <c r="E51" s="47" t="s">
        <v>434</v>
      </c>
      <c r="F51" s="44" t="s">
        <v>392</v>
      </c>
      <c r="G51" s="3" t="s">
        <v>127</v>
      </c>
      <c r="H51" s="3" t="s">
        <v>359</v>
      </c>
      <c r="I51" s="44" t="s">
        <v>21</v>
      </c>
      <c r="J51" s="8" t="s">
        <v>128</v>
      </c>
      <c r="K51" s="9"/>
    </row>
    <row r="52" spans="1:11" ht="85.5" thickBot="1">
      <c r="A52" s="49"/>
      <c r="B52" s="49"/>
      <c r="C52" s="46"/>
      <c r="D52" s="46"/>
      <c r="E52" s="49"/>
      <c r="F52" s="46"/>
      <c r="G52" s="3" t="s">
        <v>25</v>
      </c>
      <c r="H52" s="3" t="s">
        <v>26</v>
      </c>
      <c r="I52" s="46"/>
      <c r="J52" s="8" t="s">
        <v>128</v>
      </c>
      <c r="K52" s="9"/>
    </row>
    <row r="53" spans="1:11" ht="136.5" thickBot="1">
      <c r="A53" s="2" t="s">
        <v>129</v>
      </c>
      <c r="B53" s="8" t="s">
        <v>28</v>
      </c>
      <c r="C53" s="3" t="s">
        <v>130</v>
      </c>
      <c r="D53" s="3" t="s">
        <v>30</v>
      </c>
      <c r="E53" s="2" t="s">
        <v>441</v>
      </c>
      <c r="F53" s="3" t="s">
        <v>393</v>
      </c>
      <c r="G53" s="3" t="s">
        <v>131</v>
      </c>
      <c r="H53" s="3" t="s">
        <v>132</v>
      </c>
      <c r="I53" s="3" t="s">
        <v>33</v>
      </c>
      <c r="J53" s="8" t="s">
        <v>128</v>
      </c>
      <c r="K53" s="9"/>
    </row>
    <row r="54" spans="1:11" ht="102.5" thickBot="1">
      <c r="A54" s="47" t="s">
        <v>133</v>
      </c>
      <c r="B54" s="47" t="s">
        <v>134</v>
      </c>
      <c r="C54" s="44" t="s">
        <v>135</v>
      </c>
      <c r="D54" s="44" t="s">
        <v>38</v>
      </c>
      <c r="E54" s="47" t="s">
        <v>442</v>
      </c>
      <c r="F54" s="44" t="s">
        <v>393</v>
      </c>
      <c r="G54" s="3" t="s">
        <v>136</v>
      </c>
      <c r="H54" s="3" t="s">
        <v>137</v>
      </c>
      <c r="I54" s="44" t="s">
        <v>138</v>
      </c>
      <c r="J54" s="8" t="s">
        <v>128</v>
      </c>
      <c r="K54" s="9"/>
    </row>
    <row r="55" spans="1:11" ht="51.5" thickBot="1">
      <c r="A55" s="48"/>
      <c r="B55" s="48"/>
      <c r="C55" s="45"/>
      <c r="D55" s="45"/>
      <c r="E55" s="48"/>
      <c r="F55" s="45"/>
      <c r="G55" s="3" t="s">
        <v>139</v>
      </c>
      <c r="H55" s="3" t="s">
        <v>140</v>
      </c>
      <c r="I55" s="45"/>
      <c r="J55" s="7"/>
      <c r="K55" s="9"/>
    </row>
    <row r="56" spans="1:11" ht="17.5" thickBot="1">
      <c r="A56" s="49"/>
      <c r="B56" s="49"/>
      <c r="C56" s="46"/>
      <c r="D56" s="46"/>
      <c r="E56" s="49"/>
      <c r="F56" s="46"/>
      <c r="G56" s="3" t="s">
        <v>48</v>
      </c>
      <c r="H56" s="3" t="s">
        <v>141</v>
      </c>
      <c r="I56" s="46"/>
      <c r="J56" s="8" t="s">
        <v>128</v>
      </c>
      <c r="K56" s="9"/>
    </row>
    <row r="57" spans="1:11" ht="238.5" thickBot="1">
      <c r="A57" s="2" t="s">
        <v>142</v>
      </c>
      <c r="B57" s="8" t="s">
        <v>143</v>
      </c>
      <c r="C57" s="3" t="s">
        <v>144</v>
      </c>
      <c r="D57" s="3" t="s">
        <v>38</v>
      </c>
      <c r="E57" s="2" t="s">
        <v>443</v>
      </c>
      <c r="F57" s="3" t="s">
        <v>393</v>
      </c>
      <c r="G57" s="3" t="s">
        <v>145</v>
      </c>
      <c r="H57" s="3" t="s">
        <v>137</v>
      </c>
      <c r="I57" s="3" t="s">
        <v>138</v>
      </c>
      <c r="J57" s="8" t="s">
        <v>128</v>
      </c>
      <c r="K57" s="9"/>
    </row>
    <row r="58" spans="1:11" ht="85.5" thickBot="1">
      <c r="A58" s="47" t="s">
        <v>146</v>
      </c>
      <c r="B58" s="47" t="s">
        <v>95</v>
      </c>
      <c r="C58" s="44" t="s">
        <v>147</v>
      </c>
      <c r="D58" s="44" t="s">
        <v>97</v>
      </c>
      <c r="E58" s="47" t="s">
        <v>444</v>
      </c>
      <c r="F58" s="44" t="s">
        <v>393</v>
      </c>
      <c r="G58" s="3" t="s">
        <v>148</v>
      </c>
      <c r="H58" s="3" t="s">
        <v>149</v>
      </c>
      <c r="I58" s="44" t="s">
        <v>100</v>
      </c>
      <c r="J58" s="8" t="s">
        <v>128</v>
      </c>
      <c r="K58" s="9"/>
    </row>
    <row r="59" spans="1:11" ht="68.5" thickBot="1">
      <c r="A59" s="48"/>
      <c r="B59" s="48"/>
      <c r="C59" s="45"/>
      <c r="D59" s="45"/>
      <c r="E59" s="48"/>
      <c r="F59" s="45"/>
      <c r="G59" s="3" t="s">
        <v>150</v>
      </c>
      <c r="H59" s="3" t="s">
        <v>151</v>
      </c>
      <c r="I59" s="45"/>
      <c r="J59" s="8" t="s">
        <v>128</v>
      </c>
      <c r="K59" s="9"/>
    </row>
    <row r="60" spans="1:11" ht="17.5" thickBot="1">
      <c r="A60" s="48"/>
      <c r="B60" s="48"/>
      <c r="C60" s="45"/>
      <c r="D60" s="45"/>
      <c r="E60" s="48"/>
      <c r="F60" s="45"/>
      <c r="G60" s="3" t="s">
        <v>152</v>
      </c>
      <c r="H60" s="3" t="s">
        <v>108</v>
      </c>
      <c r="I60" s="45"/>
      <c r="J60" s="8" t="s">
        <v>128</v>
      </c>
      <c r="K60" s="9"/>
    </row>
    <row r="61" spans="1:11" ht="51.5" thickBot="1">
      <c r="A61" s="48"/>
      <c r="B61" s="48"/>
      <c r="C61" s="45"/>
      <c r="D61" s="45"/>
      <c r="E61" s="48"/>
      <c r="F61" s="45"/>
      <c r="G61" s="3" t="s">
        <v>153</v>
      </c>
      <c r="H61" s="3" t="s">
        <v>106</v>
      </c>
      <c r="I61" s="45"/>
      <c r="J61" s="8" t="s">
        <v>128</v>
      </c>
      <c r="K61" s="9"/>
    </row>
    <row r="62" spans="1:11" ht="17.5" thickBot="1">
      <c r="A62" s="48"/>
      <c r="B62" s="48"/>
      <c r="C62" s="45"/>
      <c r="D62" s="45"/>
      <c r="E62" s="48"/>
      <c r="F62" s="45"/>
      <c r="G62" s="3" t="s">
        <v>154</v>
      </c>
      <c r="H62" s="3" t="s">
        <v>155</v>
      </c>
      <c r="I62" s="45"/>
      <c r="J62" s="8" t="s">
        <v>128</v>
      </c>
      <c r="K62" s="9"/>
    </row>
    <row r="63" spans="1:11" ht="85.5" thickBot="1">
      <c r="A63" s="48"/>
      <c r="B63" s="48"/>
      <c r="C63" s="45"/>
      <c r="D63" s="45"/>
      <c r="E63" s="48"/>
      <c r="F63" s="45"/>
      <c r="G63" s="3" t="s">
        <v>156</v>
      </c>
      <c r="H63" s="3" t="s">
        <v>157</v>
      </c>
      <c r="I63" s="45"/>
      <c r="J63" s="8" t="s">
        <v>128</v>
      </c>
      <c r="K63" s="9"/>
    </row>
    <row r="64" spans="1:11" ht="17.5" thickBot="1">
      <c r="A64" s="49"/>
      <c r="B64" s="49"/>
      <c r="C64" s="46"/>
      <c r="D64" s="46"/>
      <c r="E64" s="49"/>
      <c r="F64" s="46"/>
      <c r="G64" s="3" t="s">
        <v>48</v>
      </c>
      <c r="H64" s="3" t="s">
        <v>141</v>
      </c>
      <c r="I64" s="46"/>
      <c r="J64" s="8" t="s">
        <v>128</v>
      </c>
      <c r="K64" s="9"/>
    </row>
    <row r="65" spans="1:11" ht="17.5" thickBot="1">
      <c r="A65" s="47" t="s">
        <v>158</v>
      </c>
      <c r="B65" s="47" t="s">
        <v>117</v>
      </c>
      <c r="C65" s="44" t="s">
        <v>118</v>
      </c>
      <c r="D65" s="44" t="s">
        <v>38</v>
      </c>
      <c r="E65" s="47" t="s">
        <v>445</v>
      </c>
      <c r="F65" s="44" t="s">
        <v>393</v>
      </c>
      <c r="G65" s="3" t="s">
        <v>159</v>
      </c>
      <c r="H65" s="3" t="s">
        <v>160</v>
      </c>
      <c r="I65" s="44" t="s">
        <v>100</v>
      </c>
      <c r="J65" s="8" t="s">
        <v>128</v>
      </c>
      <c r="K65" s="9"/>
    </row>
    <row r="66" spans="1:11" ht="85.5" thickBot="1">
      <c r="A66" s="48"/>
      <c r="B66" s="48"/>
      <c r="C66" s="45"/>
      <c r="D66" s="45"/>
      <c r="E66" s="48"/>
      <c r="F66" s="45"/>
      <c r="G66" s="3" t="s">
        <v>161</v>
      </c>
      <c r="H66" s="3" t="s">
        <v>149</v>
      </c>
      <c r="I66" s="45"/>
      <c r="J66" s="8" t="s">
        <v>128</v>
      </c>
      <c r="K66" s="9"/>
    </row>
    <row r="67" spans="1:11" ht="102.5" thickBot="1">
      <c r="A67" s="48"/>
      <c r="B67" s="48"/>
      <c r="C67" s="45"/>
      <c r="D67" s="45"/>
      <c r="E67" s="48"/>
      <c r="F67" s="45"/>
      <c r="G67" s="3" t="s">
        <v>162</v>
      </c>
      <c r="H67" s="3" t="s">
        <v>157</v>
      </c>
      <c r="I67" s="45"/>
      <c r="J67" s="8" t="s">
        <v>128</v>
      </c>
      <c r="K67" s="9"/>
    </row>
    <row r="68" spans="1:11" ht="17.5" thickBot="1">
      <c r="A68" s="49"/>
      <c r="B68" s="49"/>
      <c r="C68" s="46"/>
      <c r="D68" s="46"/>
      <c r="E68" s="49"/>
      <c r="F68" s="46"/>
      <c r="G68" s="3" t="s">
        <v>48</v>
      </c>
      <c r="H68" s="3" t="s">
        <v>141</v>
      </c>
      <c r="I68" s="46"/>
      <c r="J68" s="8" t="s">
        <v>128</v>
      </c>
      <c r="K68" s="9"/>
    </row>
    <row r="69" spans="1:11" ht="85.5" thickBot="1">
      <c r="A69" s="47" t="s">
        <v>163</v>
      </c>
      <c r="B69" s="47" t="s">
        <v>18</v>
      </c>
      <c r="C69" s="44" t="s">
        <v>164</v>
      </c>
      <c r="D69" s="44" t="s">
        <v>19</v>
      </c>
      <c r="E69" s="47" t="s">
        <v>456</v>
      </c>
      <c r="F69" s="44" t="s">
        <v>390</v>
      </c>
      <c r="G69" s="3" t="s">
        <v>165</v>
      </c>
      <c r="H69" s="3" t="s">
        <v>359</v>
      </c>
      <c r="I69" s="44" t="s">
        <v>21</v>
      </c>
      <c r="J69" s="8" t="s">
        <v>128</v>
      </c>
      <c r="K69" s="55"/>
    </row>
    <row r="70" spans="1:11" ht="85.5" thickBot="1">
      <c r="A70" s="49"/>
      <c r="B70" s="49"/>
      <c r="C70" s="46"/>
      <c r="D70" s="46"/>
      <c r="E70" s="49"/>
      <c r="F70" s="46"/>
      <c r="G70" s="3" t="s">
        <v>25</v>
      </c>
      <c r="H70" s="3" t="s">
        <v>26</v>
      </c>
      <c r="I70" s="46"/>
      <c r="J70" s="8" t="s">
        <v>128</v>
      </c>
      <c r="K70" s="56"/>
    </row>
    <row r="71" spans="1:11" ht="119.5" thickBot="1">
      <c r="A71" s="2" t="s">
        <v>166</v>
      </c>
      <c r="B71" s="8" t="s">
        <v>28</v>
      </c>
      <c r="C71" s="3" t="s">
        <v>167</v>
      </c>
      <c r="D71" s="3" t="s">
        <v>168</v>
      </c>
      <c r="E71" s="2" t="s">
        <v>446</v>
      </c>
      <c r="F71" s="3" t="s">
        <v>391</v>
      </c>
      <c r="G71" s="3" t="s">
        <v>169</v>
      </c>
      <c r="H71" s="3" t="s">
        <v>170</v>
      </c>
      <c r="I71" s="3" t="s">
        <v>33</v>
      </c>
      <c r="J71" s="8" t="s">
        <v>128</v>
      </c>
      <c r="K71" s="9"/>
    </row>
    <row r="72" spans="1:11" ht="136.5" thickBot="1">
      <c r="A72" s="47" t="s">
        <v>171</v>
      </c>
      <c r="B72" s="47" t="s">
        <v>36</v>
      </c>
      <c r="C72" s="44" t="s">
        <v>172</v>
      </c>
      <c r="D72" s="44" t="s">
        <v>38</v>
      </c>
      <c r="E72" s="47" t="s">
        <v>447</v>
      </c>
      <c r="F72" s="44" t="s">
        <v>173</v>
      </c>
      <c r="G72" s="3" t="s">
        <v>174</v>
      </c>
      <c r="H72" s="3" t="s">
        <v>175</v>
      </c>
      <c r="I72" s="44" t="s">
        <v>41</v>
      </c>
      <c r="J72" s="8" t="s">
        <v>128</v>
      </c>
      <c r="K72" s="9"/>
    </row>
    <row r="73" spans="1:11" ht="34.5" thickBot="1">
      <c r="A73" s="49"/>
      <c r="B73" s="49"/>
      <c r="C73" s="46"/>
      <c r="D73" s="46"/>
      <c r="E73" s="49"/>
      <c r="F73" s="46"/>
      <c r="G73" s="3" t="s">
        <v>176</v>
      </c>
      <c r="H73" s="3" t="s">
        <v>177</v>
      </c>
      <c r="I73" s="46"/>
      <c r="J73" s="8" t="s">
        <v>128</v>
      </c>
      <c r="K73" s="9"/>
    </row>
    <row r="74" spans="1:11" ht="119.5" thickBot="1">
      <c r="A74" s="47" t="s">
        <v>178</v>
      </c>
      <c r="B74" s="47" t="s">
        <v>51</v>
      </c>
      <c r="C74" s="44" t="s">
        <v>179</v>
      </c>
      <c r="D74" s="44" t="s">
        <v>38</v>
      </c>
      <c r="E74" s="47" t="s">
        <v>448</v>
      </c>
      <c r="F74" s="44" t="s">
        <v>173</v>
      </c>
      <c r="G74" s="3" t="s">
        <v>180</v>
      </c>
      <c r="H74" s="3" t="s">
        <v>175</v>
      </c>
      <c r="I74" s="44" t="s">
        <v>41</v>
      </c>
      <c r="J74" s="8" t="s">
        <v>128</v>
      </c>
      <c r="K74" s="9"/>
    </row>
    <row r="75" spans="1:11" ht="34.5" thickBot="1">
      <c r="A75" s="49"/>
      <c r="B75" s="49"/>
      <c r="C75" s="46"/>
      <c r="D75" s="46"/>
      <c r="E75" s="49"/>
      <c r="F75" s="46"/>
      <c r="G75" s="3" t="s">
        <v>176</v>
      </c>
      <c r="H75" s="3" t="s">
        <v>177</v>
      </c>
      <c r="I75" s="46"/>
      <c r="J75" s="8" t="s">
        <v>128</v>
      </c>
      <c r="K75" s="9"/>
    </row>
    <row r="76" spans="1:11" ht="102.5" thickBot="1">
      <c r="A76" s="2" t="s">
        <v>181</v>
      </c>
      <c r="B76" s="8" t="s">
        <v>57</v>
      </c>
      <c r="C76" s="3" t="s">
        <v>182</v>
      </c>
      <c r="D76" s="3" t="s">
        <v>59</v>
      </c>
      <c r="E76" s="2" t="s">
        <v>449</v>
      </c>
      <c r="F76" s="3" t="s">
        <v>173</v>
      </c>
      <c r="G76" s="3" t="s">
        <v>183</v>
      </c>
      <c r="H76" s="3" t="s">
        <v>184</v>
      </c>
      <c r="I76" s="3" t="s">
        <v>62</v>
      </c>
      <c r="J76" s="8" t="s">
        <v>128</v>
      </c>
      <c r="K76" s="9"/>
    </row>
    <row r="77" spans="1:11" ht="102.5" thickBot="1">
      <c r="A77" s="2" t="s">
        <v>185</v>
      </c>
      <c r="B77" s="8" t="s">
        <v>67</v>
      </c>
      <c r="C77" s="3" t="s">
        <v>182</v>
      </c>
      <c r="D77" s="3" t="s">
        <v>59</v>
      </c>
      <c r="E77" s="2" t="s">
        <v>450</v>
      </c>
      <c r="F77" s="3" t="s">
        <v>173</v>
      </c>
      <c r="G77" s="3" t="s">
        <v>186</v>
      </c>
      <c r="H77" s="3" t="s">
        <v>187</v>
      </c>
      <c r="I77" s="3" t="s">
        <v>62</v>
      </c>
      <c r="J77" s="8" t="s">
        <v>128</v>
      </c>
      <c r="K77" s="9"/>
    </row>
    <row r="78" spans="1:11" ht="102.5" thickBot="1">
      <c r="A78" s="2" t="s">
        <v>188</v>
      </c>
      <c r="B78" s="8" t="s">
        <v>73</v>
      </c>
      <c r="C78" s="3" t="s">
        <v>182</v>
      </c>
      <c r="D78" s="3" t="s">
        <v>59</v>
      </c>
      <c r="E78" s="2" t="s">
        <v>451</v>
      </c>
      <c r="F78" s="3" t="s">
        <v>173</v>
      </c>
      <c r="G78" s="3" t="s">
        <v>189</v>
      </c>
      <c r="H78" s="3" t="s">
        <v>190</v>
      </c>
      <c r="I78" s="3" t="s">
        <v>77</v>
      </c>
      <c r="J78" s="8" t="s">
        <v>128</v>
      </c>
      <c r="K78" s="9"/>
    </row>
    <row r="79" spans="1:11" ht="102.5" thickBot="1">
      <c r="A79" s="2" t="s">
        <v>191</v>
      </c>
      <c r="B79" s="8" t="s">
        <v>79</v>
      </c>
      <c r="C79" s="3" t="s">
        <v>182</v>
      </c>
      <c r="D79" s="3" t="s">
        <v>59</v>
      </c>
      <c r="E79" s="2" t="s">
        <v>452</v>
      </c>
      <c r="F79" s="3" t="s">
        <v>173</v>
      </c>
      <c r="G79" s="3" t="s">
        <v>192</v>
      </c>
      <c r="H79" s="3" t="s">
        <v>193</v>
      </c>
      <c r="I79" s="3" t="s">
        <v>83</v>
      </c>
      <c r="J79" s="8" t="s">
        <v>128</v>
      </c>
      <c r="K79" s="9"/>
    </row>
    <row r="80" spans="1:11" ht="68.5" thickBot="1">
      <c r="A80" s="47" t="s">
        <v>194</v>
      </c>
      <c r="B80" s="47" t="s">
        <v>195</v>
      </c>
      <c r="C80" s="44" t="s">
        <v>196</v>
      </c>
      <c r="D80" s="44" t="s">
        <v>197</v>
      </c>
      <c r="E80" s="47" t="s">
        <v>453</v>
      </c>
      <c r="F80" s="44" t="s">
        <v>173</v>
      </c>
      <c r="G80" s="3" t="s">
        <v>198</v>
      </c>
      <c r="H80" s="3" t="s">
        <v>199</v>
      </c>
      <c r="I80" s="7"/>
      <c r="J80" s="8" t="s">
        <v>128</v>
      </c>
      <c r="K80" s="9"/>
    </row>
    <row r="81" spans="1:11" ht="68.5" thickBot="1">
      <c r="A81" s="48"/>
      <c r="B81" s="48"/>
      <c r="C81" s="45"/>
      <c r="D81" s="45"/>
      <c r="E81" s="48"/>
      <c r="F81" s="45"/>
      <c r="G81" s="3" t="s">
        <v>200</v>
      </c>
      <c r="H81" s="3" t="s">
        <v>201</v>
      </c>
      <c r="I81" s="44" t="s">
        <v>202</v>
      </c>
      <c r="J81" s="8" t="s">
        <v>128</v>
      </c>
      <c r="K81" s="9"/>
    </row>
    <row r="82" spans="1:11" ht="68.5" thickBot="1">
      <c r="A82" s="49"/>
      <c r="B82" s="49"/>
      <c r="C82" s="46"/>
      <c r="D82" s="46"/>
      <c r="E82" s="49"/>
      <c r="F82" s="46"/>
      <c r="G82" s="3" t="s">
        <v>203</v>
      </c>
      <c r="H82" s="3" t="s">
        <v>199</v>
      </c>
      <c r="I82" s="46"/>
      <c r="J82" s="8" t="s">
        <v>128</v>
      </c>
      <c r="K82" s="9"/>
    </row>
    <row r="83" spans="1:11" ht="51.5" thickBot="1">
      <c r="A83" s="47" t="s">
        <v>204</v>
      </c>
      <c r="B83" s="47" t="s">
        <v>95</v>
      </c>
      <c r="C83" s="44" t="s">
        <v>205</v>
      </c>
      <c r="D83" s="44" t="s">
        <v>97</v>
      </c>
      <c r="E83" s="47" t="s">
        <v>454</v>
      </c>
      <c r="F83" s="44" t="s">
        <v>173</v>
      </c>
      <c r="G83" s="3" t="s">
        <v>150</v>
      </c>
      <c r="H83" s="3" t="s">
        <v>206</v>
      </c>
      <c r="I83" s="44" t="s">
        <v>100</v>
      </c>
      <c r="J83" s="8" t="s">
        <v>128</v>
      </c>
      <c r="K83" s="9"/>
    </row>
    <row r="84" spans="1:11" ht="68.5" thickBot="1">
      <c r="A84" s="48"/>
      <c r="B84" s="48"/>
      <c r="C84" s="45"/>
      <c r="D84" s="45"/>
      <c r="E84" s="48"/>
      <c r="F84" s="45"/>
      <c r="G84" s="3" t="s">
        <v>207</v>
      </c>
      <c r="H84" s="3" t="s">
        <v>208</v>
      </c>
      <c r="I84" s="45"/>
      <c r="J84" s="8" t="s">
        <v>128</v>
      </c>
      <c r="K84" s="9"/>
    </row>
    <row r="85" spans="1:11" ht="51.5" thickBot="1">
      <c r="A85" s="48"/>
      <c r="B85" s="48"/>
      <c r="C85" s="45"/>
      <c r="D85" s="45"/>
      <c r="E85" s="48"/>
      <c r="F85" s="45"/>
      <c r="G85" s="3" t="s">
        <v>209</v>
      </c>
      <c r="H85" s="3" t="s">
        <v>175</v>
      </c>
      <c r="I85" s="45"/>
      <c r="J85" s="8" t="s">
        <v>128</v>
      </c>
      <c r="K85" s="9"/>
    </row>
    <row r="86" spans="1:11" ht="34.5" thickBot="1">
      <c r="A86" s="49"/>
      <c r="B86" s="49"/>
      <c r="C86" s="46"/>
      <c r="D86" s="46"/>
      <c r="E86" s="49"/>
      <c r="F86" s="46"/>
      <c r="G86" s="3" t="s">
        <v>176</v>
      </c>
      <c r="H86" s="3" t="s">
        <v>177</v>
      </c>
      <c r="I86" s="46"/>
      <c r="J86" s="8" t="s">
        <v>128</v>
      </c>
      <c r="K86" s="9"/>
    </row>
    <row r="87" spans="1:11" ht="68.5" thickBot="1">
      <c r="A87" s="47" t="s">
        <v>210</v>
      </c>
      <c r="B87" s="47" t="s">
        <v>117</v>
      </c>
      <c r="C87" s="44" t="s">
        <v>118</v>
      </c>
      <c r="D87" s="44" t="s">
        <v>38</v>
      </c>
      <c r="E87" s="47" t="s">
        <v>455</v>
      </c>
      <c r="F87" s="44" t="s">
        <v>173</v>
      </c>
      <c r="G87" s="3" t="s">
        <v>153</v>
      </c>
      <c r="H87" s="3" t="s">
        <v>199</v>
      </c>
      <c r="I87" s="44" t="s">
        <v>100</v>
      </c>
      <c r="J87" s="8" t="s">
        <v>128</v>
      </c>
      <c r="K87" s="9"/>
    </row>
    <row r="88" spans="1:11" ht="85.5" thickBot="1">
      <c r="A88" s="48"/>
      <c r="B88" s="48"/>
      <c r="C88" s="45"/>
      <c r="D88" s="45"/>
      <c r="E88" s="48"/>
      <c r="F88" s="45"/>
      <c r="G88" s="3" t="s">
        <v>121</v>
      </c>
      <c r="H88" s="3" t="s">
        <v>170</v>
      </c>
      <c r="I88" s="45"/>
      <c r="J88" s="8" t="s">
        <v>128</v>
      </c>
      <c r="K88" s="9"/>
    </row>
    <row r="89" spans="1:11" ht="119.5" thickBot="1">
      <c r="A89" s="48"/>
      <c r="B89" s="48"/>
      <c r="C89" s="45"/>
      <c r="D89" s="45"/>
      <c r="E89" s="48"/>
      <c r="F89" s="45"/>
      <c r="G89" s="3" t="s">
        <v>180</v>
      </c>
      <c r="H89" s="3" t="s">
        <v>175</v>
      </c>
      <c r="I89" s="45"/>
      <c r="J89" s="8" t="s">
        <v>128</v>
      </c>
      <c r="K89" s="55"/>
    </row>
    <row r="90" spans="1:11" ht="34.5" thickBot="1">
      <c r="A90" s="49"/>
      <c r="B90" s="49"/>
      <c r="C90" s="46"/>
      <c r="D90" s="46"/>
      <c r="E90" s="49"/>
      <c r="F90" s="46"/>
      <c r="G90" s="3" t="s">
        <v>176</v>
      </c>
      <c r="H90" s="3" t="s">
        <v>177</v>
      </c>
      <c r="I90" s="46"/>
      <c r="J90" s="8" t="s">
        <v>128</v>
      </c>
      <c r="K90" s="56"/>
    </row>
    <row r="91" spans="1:11" ht="51.5" thickBot="1">
      <c r="A91" s="47" t="s">
        <v>211</v>
      </c>
      <c r="B91" s="47" t="s">
        <v>18</v>
      </c>
      <c r="C91" s="44" t="s">
        <v>212</v>
      </c>
      <c r="D91" s="44" t="s">
        <v>213</v>
      </c>
      <c r="E91" s="47" t="s">
        <v>432</v>
      </c>
      <c r="F91" s="57" t="s">
        <v>425</v>
      </c>
      <c r="G91" s="10" t="s">
        <v>215</v>
      </c>
      <c r="H91" s="3" t="s">
        <v>359</v>
      </c>
      <c r="I91" s="44" t="s">
        <v>216</v>
      </c>
      <c r="J91" s="8" t="s">
        <v>128</v>
      </c>
      <c r="K91" s="11" t="s">
        <v>217</v>
      </c>
    </row>
    <row r="92" spans="1:11" ht="68.5" thickBot="1">
      <c r="A92" s="49"/>
      <c r="B92" s="49"/>
      <c r="C92" s="46"/>
      <c r="D92" s="46"/>
      <c r="E92" s="49"/>
      <c r="F92" s="46"/>
      <c r="G92" s="10" t="s">
        <v>218</v>
      </c>
      <c r="H92" s="3" t="s">
        <v>199</v>
      </c>
      <c r="I92" s="46"/>
      <c r="J92" s="8" t="s">
        <v>128</v>
      </c>
      <c r="K92" s="9"/>
    </row>
    <row r="93" spans="1:11" ht="68.5" thickBot="1">
      <c r="A93" s="47" t="s">
        <v>219</v>
      </c>
      <c r="B93" s="47" t="s">
        <v>195</v>
      </c>
      <c r="C93" s="44" t="s">
        <v>220</v>
      </c>
      <c r="D93" s="44" t="s">
        <v>197</v>
      </c>
      <c r="E93" s="47" t="s">
        <v>433</v>
      </c>
      <c r="F93" s="44" t="s">
        <v>214</v>
      </c>
      <c r="G93" s="3" t="s">
        <v>221</v>
      </c>
      <c r="H93" s="3" t="s">
        <v>222</v>
      </c>
      <c r="I93" s="44" t="s">
        <v>202</v>
      </c>
      <c r="J93" s="8" t="s">
        <v>128</v>
      </c>
      <c r="K93" s="9"/>
    </row>
    <row r="94" spans="1:11" ht="68.5" thickBot="1">
      <c r="A94" s="48"/>
      <c r="B94" s="48"/>
      <c r="C94" s="45"/>
      <c r="D94" s="45"/>
      <c r="E94" s="48"/>
      <c r="F94" s="45"/>
      <c r="G94" s="3" t="s">
        <v>223</v>
      </c>
      <c r="H94" s="3" t="s">
        <v>201</v>
      </c>
      <c r="I94" s="45"/>
      <c r="J94" s="8" t="s">
        <v>128</v>
      </c>
      <c r="K94" s="9"/>
    </row>
    <row r="95" spans="1:11" ht="68.5" thickBot="1">
      <c r="A95" s="49"/>
      <c r="B95" s="49"/>
      <c r="C95" s="46"/>
      <c r="D95" s="46"/>
      <c r="E95" s="49"/>
      <c r="F95" s="46"/>
      <c r="G95" s="3" t="s">
        <v>224</v>
      </c>
      <c r="H95" s="3" t="s">
        <v>222</v>
      </c>
      <c r="I95" s="46"/>
      <c r="J95" s="8" t="s">
        <v>128</v>
      </c>
      <c r="K95" s="9"/>
    </row>
    <row r="96" spans="1:11" ht="102.5" thickBot="1">
      <c r="A96" s="2" t="s">
        <v>225</v>
      </c>
      <c r="B96" s="8" t="s">
        <v>226</v>
      </c>
      <c r="C96" s="3" t="s">
        <v>227</v>
      </c>
      <c r="D96" s="3" t="s">
        <v>228</v>
      </c>
      <c r="E96" s="2" t="s">
        <v>457</v>
      </c>
      <c r="F96" s="3" t="s">
        <v>229</v>
      </c>
      <c r="G96" s="3" t="s">
        <v>230</v>
      </c>
      <c r="H96" s="3" t="s">
        <v>231</v>
      </c>
      <c r="I96" s="3" t="s">
        <v>232</v>
      </c>
      <c r="J96" s="8" t="s">
        <v>128</v>
      </c>
      <c r="K96" s="9"/>
    </row>
    <row r="97" spans="1:11" ht="102.5" thickBot="1">
      <c r="A97" s="2" t="s">
        <v>233</v>
      </c>
      <c r="B97" s="8" t="s">
        <v>234</v>
      </c>
      <c r="C97" s="3" t="s">
        <v>235</v>
      </c>
      <c r="D97" s="3" t="s">
        <v>236</v>
      </c>
      <c r="E97" s="2" t="s">
        <v>458</v>
      </c>
      <c r="F97" s="3" t="s">
        <v>237</v>
      </c>
      <c r="G97" s="3" t="s">
        <v>238</v>
      </c>
      <c r="H97" s="3" t="s">
        <v>239</v>
      </c>
      <c r="I97" s="3" t="s">
        <v>232</v>
      </c>
      <c r="J97" s="8" t="s">
        <v>128</v>
      </c>
      <c r="K97" s="9"/>
    </row>
    <row r="98" spans="1:11" ht="102.5" thickBot="1">
      <c r="A98" s="2" t="s">
        <v>240</v>
      </c>
      <c r="B98" s="8" t="s">
        <v>241</v>
      </c>
      <c r="C98" s="3" t="s">
        <v>242</v>
      </c>
      <c r="D98" s="3" t="s">
        <v>228</v>
      </c>
      <c r="E98" s="2" t="s">
        <v>426</v>
      </c>
      <c r="F98" s="3" t="s">
        <v>243</v>
      </c>
      <c r="G98" s="3" t="s">
        <v>244</v>
      </c>
      <c r="H98" s="3" t="s">
        <v>245</v>
      </c>
      <c r="I98" s="3" t="s">
        <v>246</v>
      </c>
      <c r="J98" s="8" t="s">
        <v>128</v>
      </c>
      <c r="K98" s="9"/>
    </row>
    <row r="99" spans="1:11" ht="187.5" thickBot="1">
      <c r="A99" s="47" t="s">
        <v>247</v>
      </c>
      <c r="B99" s="47" t="s">
        <v>248</v>
      </c>
      <c r="C99" s="44" t="s">
        <v>249</v>
      </c>
      <c r="D99" s="44" t="s">
        <v>250</v>
      </c>
      <c r="E99" s="47" t="s">
        <v>459</v>
      </c>
      <c r="F99" s="44" t="s">
        <v>251</v>
      </c>
      <c r="G99" s="3" t="s">
        <v>252</v>
      </c>
      <c r="H99" s="3" t="s">
        <v>253</v>
      </c>
      <c r="I99" s="3" t="s">
        <v>254</v>
      </c>
      <c r="J99" s="8" t="s">
        <v>128</v>
      </c>
      <c r="K99" s="9"/>
    </row>
    <row r="100" spans="1:11" ht="119.5" thickBot="1">
      <c r="A100" s="48"/>
      <c r="B100" s="48"/>
      <c r="C100" s="45"/>
      <c r="D100" s="45"/>
      <c r="E100" s="48" t="s">
        <v>460</v>
      </c>
      <c r="F100" s="45"/>
      <c r="G100" s="3" t="s">
        <v>255</v>
      </c>
      <c r="H100" s="3" t="s">
        <v>256</v>
      </c>
      <c r="I100" s="44" t="s">
        <v>257</v>
      </c>
      <c r="J100" s="8" t="s">
        <v>128</v>
      </c>
      <c r="K100" s="9"/>
    </row>
    <row r="101" spans="1:11" ht="68.5" thickBot="1">
      <c r="A101" s="48"/>
      <c r="B101" s="48"/>
      <c r="C101" s="45"/>
      <c r="D101" s="45"/>
      <c r="E101" s="48" t="s">
        <v>460</v>
      </c>
      <c r="F101" s="45"/>
      <c r="G101" s="3" t="s">
        <v>258</v>
      </c>
      <c r="H101" s="3" t="s">
        <v>259</v>
      </c>
      <c r="I101" s="45"/>
      <c r="J101" s="8" t="s">
        <v>128</v>
      </c>
      <c r="K101" s="9"/>
    </row>
    <row r="102" spans="1:11" ht="17.5" thickBot="1">
      <c r="A102" s="48"/>
      <c r="B102" s="48"/>
      <c r="C102" s="45"/>
      <c r="D102" s="45"/>
      <c r="E102" s="48" t="s">
        <v>460</v>
      </c>
      <c r="F102" s="45"/>
      <c r="G102" s="3" t="s">
        <v>48</v>
      </c>
      <c r="H102" s="3" t="s">
        <v>260</v>
      </c>
      <c r="I102" s="45"/>
      <c r="J102" s="8" t="s">
        <v>128</v>
      </c>
      <c r="K102" s="9"/>
    </row>
    <row r="103" spans="1:11" ht="85.5" thickBot="1">
      <c r="A103" s="48"/>
      <c r="B103" s="48"/>
      <c r="C103" s="45"/>
      <c r="D103" s="45"/>
      <c r="E103" s="48" t="s">
        <v>460</v>
      </c>
      <c r="F103" s="45"/>
      <c r="G103" s="3" t="s">
        <v>261</v>
      </c>
      <c r="H103" s="3" t="s">
        <v>262</v>
      </c>
      <c r="I103" s="45"/>
      <c r="J103" s="8" t="s">
        <v>128</v>
      </c>
      <c r="K103" s="9"/>
    </row>
    <row r="104" spans="1:11" ht="17.5" thickBot="1">
      <c r="A104" s="48"/>
      <c r="B104" s="48"/>
      <c r="C104" s="45"/>
      <c r="D104" s="45"/>
      <c r="E104" s="48" t="s">
        <v>460</v>
      </c>
      <c r="F104" s="45"/>
      <c r="G104" s="3" t="s">
        <v>48</v>
      </c>
      <c r="H104" s="3" t="s">
        <v>263</v>
      </c>
      <c r="I104" s="45"/>
      <c r="J104" s="8" t="s">
        <v>128</v>
      </c>
      <c r="K104" s="9"/>
    </row>
    <row r="105" spans="1:11" ht="136.5" thickBot="1">
      <c r="A105" s="48"/>
      <c r="B105" s="48"/>
      <c r="C105" s="45"/>
      <c r="D105" s="45"/>
      <c r="E105" s="48" t="s">
        <v>460</v>
      </c>
      <c r="F105" s="45"/>
      <c r="G105" s="3" t="s">
        <v>264</v>
      </c>
      <c r="H105" s="3" t="s">
        <v>265</v>
      </c>
      <c r="I105" s="45"/>
      <c r="J105" s="8" t="s">
        <v>128</v>
      </c>
      <c r="K105" s="9"/>
    </row>
    <row r="106" spans="1:11" ht="34.5" thickBot="1">
      <c r="A106" s="49"/>
      <c r="B106" s="49"/>
      <c r="C106" s="46"/>
      <c r="D106" s="46"/>
      <c r="E106" s="49" t="s">
        <v>460</v>
      </c>
      <c r="F106" s="46"/>
      <c r="G106" s="3" t="s">
        <v>176</v>
      </c>
      <c r="H106" s="3" t="s">
        <v>266</v>
      </c>
      <c r="I106" s="46"/>
      <c r="J106" s="8" t="s">
        <v>128</v>
      </c>
      <c r="K106" s="9"/>
    </row>
    <row r="107" spans="1:11" ht="68.5" thickBot="1">
      <c r="A107" s="2" t="s">
        <v>267</v>
      </c>
      <c r="B107" s="8" t="s">
        <v>268</v>
      </c>
      <c r="C107" s="3" t="s">
        <v>269</v>
      </c>
      <c r="D107" s="3" t="s">
        <v>270</v>
      </c>
      <c r="E107" s="2" t="s">
        <v>461</v>
      </c>
      <c r="F107" s="3" t="s">
        <v>271</v>
      </c>
      <c r="G107" s="3" t="s">
        <v>7</v>
      </c>
      <c r="H107" s="3" t="s">
        <v>7</v>
      </c>
      <c r="I107" s="3" t="s">
        <v>272</v>
      </c>
      <c r="J107" s="8" t="s">
        <v>128</v>
      </c>
      <c r="K107" s="9"/>
    </row>
    <row r="108" spans="1:11" ht="102.5" thickBot="1">
      <c r="A108" s="2" t="s">
        <v>273</v>
      </c>
      <c r="B108" s="8" t="s">
        <v>274</v>
      </c>
      <c r="C108" s="3" t="s">
        <v>275</v>
      </c>
      <c r="D108" s="3" t="s">
        <v>276</v>
      </c>
      <c r="E108" s="2" t="s">
        <v>462</v>
      </c>
      <c r="F108" s="3" t="s">
        <v>277</v>
      </c>
      <c r="G108" s="3" t="s">
        <v>278</v>
      </c>
      <c r="H108" s="3" t="s">
        <v>279</v>
      </c>
      <c r="I108" s="3" t="s">
        <v>280</v>
      </c>
      <c r="J108" s="8" t="s">
        <v>128</v>
      </c>
      <c r="K108" s="7"/>
    </row>
    <row r="109" spans="1:11" ht="17.5" thickBot="1">
      <c r="A109" s="47" t="s">
        <v>281</v>
      </c>
      <c r="B109" s="47" t="s">
        <v>282</v>
      </c>
      <c r="C109" s="44" t="s">
        <v>283</v>
      </c>
      <c r="D109" s="44" t="s">
        <v>284</v>
      </c>
      <c r="E109" s="47" t="s">
        <v>463</v>
      </c>
      <c r="F109" s="44" t="s">
        <v>277</v>
      </c>
      <c r="G109" s="3" t="s">
        <v>278</v>
      </c>
      <c r="H109" s="3" t="s">
        <v>279</v>
      </c>
      <c r="I109" s="58"/>
      <c r="J109" s="8" t="s">
        <v>128</v>
      </c>
      <c r="K109" s="7"/>
    </row>
    <row r="110" spans="1:11" ht="17.5" thickBot="1">
      <c r="A110" s="48"/>
      <c r="B110" s="48"/>
      <c r="C110" s="45"/>
      <c r="D110" s="45"/>
      <c r="E110" s="48" t="s">
        <v>460</v>
      </c>
      <c r="F110" s="45"/>
      <c r="G110" s="3" t="s">
        <v>285</v>
      </c>
      <c r="H110" s="3" t="s">
        <v>286</v>
      </c>
      <c r="I110" s="59"/>
      <c r="J110" s="8" t="s">
        <v>128</v>
      </c>
      <c r="K110" s="7"/>
    </row>
    <row r="111" spans="1:11" ht="17.5" thickBot="1">
      <c r="A111" s="48"/>
      <c r="B111" s="48"/>
      <c r="C111" s="45"/>
      <c r="D111" s="45"/>
      <c r="E111" s="48" t="s">
        <v>460</v>
      </c>
      <c r="F111" s="45"/>
      <c r="G111" s="3" t="s">
        <v>287</v>
      </c>
      <c r="H111" s="3" t="s">
        <v>288</v>
      </c>
      <c r="I111" s="59"/>
      <c r="J111" s="8" t="s">
        <v>128</v>
      </c>
      <c r="K111" s="7"/>
    </row>
    <row r="112" spans="1:11" ht="17.5" thickBot="1">
      <c r="A112" s="48"/>
      <c r="B112" s="48"/>
      <c r="C112" s="45"/>
      <c r="D112" s="45"/>
      <c r="E112" s="48" t="s">
        <v>460</v>
      </c>
      <c r="F112" s="45"/>
      <c r="G112" s="3" t="s">
        <v>278</v>
      </c>
      <c r="H112" s="3" t="s">
        <v>279</v>
      </c>
      <c r="I112" s="59"/>
      <c r="J112" s="8" t="s">
        <v>128</v>
      </c>
      <c r="K112" s="7"/>
    </row>
    <row r="113" spans="1:11" ht="68.5" thickBot="1">
      <c r="A113" s="48"/>
      <c r="B113" s="48"/>
      <c r="C113" s="45"/>
      <c r="D113" s="45"/>
      <c r="E113" s="48" t="str">
        <f t="shared" ref="E113:E115" si="0">_xlfn.CONCAT("TC-",A113)</f>
        <v>TC-</v>
      </c>
      <c r="F113" s="45"/>
      <c r="G113" s="3" t="s">
        <v>150</v>
      </c>
      <c r="H113" s="3" t="s">
        <v>289</v>
      </c>
      <c r="I113" s="59"/>
      <c r="J113" s="8" t="s">
        <v>128</v>
      </c>
      <c r="K113" s="7"/>
    </row>
    <row r="114" spans="1:11" ht="68.5" thickBot="1">
      <c r="A114" s="48"/>
      <c r="B114" s="48"/>
      <c r="C114" s="45"/>
      <c r="D114" s="45"/>
      <c r="E114" s="48" t="str">
        <f t="shared" si="0"/>
        <v>TC-</v>
      </c>
      <c r="F114" s="45"/>
      <c r="G114" s="3" t="s">
        <v>153</v>
      </c>
      <c r="H114" s="3" t="s">
        <v>290</v>
      </c>
      <c r="I114" s="59"/>
      <c r="J114" s="8" t="s">
        <v>128</v>
      </c>
      <c r="K114" s="7"/>
    </row>
    <row r="115" spans="1:11" ht="17.5" thickBot="1">
      <c r="A115" s="49"/>
      <c r="B115" s="49"/>
      <c r="C115" s="46"/>
      <c r="D115" s="46"/>
      <c r="E115" s="49" t="str">
        <f t="shared" si="0"/>
        <v>TC-</v>
      </c>
      <c r="F115" s="46"/>
      <c r="G115" s="3" t="s">
        <v>278</v>
      </c>
      <c r="H115" s="3" t="s">
        <v>279</v>
      </c>
      <c r="I115" s="60"/>
      <c r="J115" s="8" t="s">
        <v>128</v>
      </c>
      <c r="K115" s="7"/>
    </row>
    <row r="116" spans="1:11" ht="51.5" thickBot="1">
      <c r="A116" s="47" t="s">
        <v>291</v>
      </c>
      <c r="B116" s="47" t="s">
        <v>18</v>
      </c>
      <c r="C116" s="44" t="s">
        <v>292</v>
      </c>
      <c r="D116" s="44" t="s">
        <v>293</v>
      </c>
      <c r="E116" s="47" t="s">
        <v>423</v>
      </c>
      <c r="F116" s="3" t="s">
        <v>294</v>
      </c>
      <c r="G116" s="3" t="s">
        <v>295</v>
      </c>
      <c r="H116" s="3" t="s">
        <v>359</v>
      </c>
      <c r="I116" s="7"/>
      <c r="J116" s="8" t="s">
        <v>128</v>
      </c>
      <c r="K116" s="7"/>
    </row>
    <row r="117" spans="1:11" ht="34.5" thickBot="1">
      <c r="A117" s="48"/>
      <c r="B117" s="48"/>
      <c r="C117" s="45"/>
      <c r="D117" s="45"/>
      <c r="E117" s="48"/>
      <c r="F117" s="3" t="s">
        <v>294</v>
      </c>
      <c r="G117" s="3" t="s">
        <v>296</v>
      </c>
      <c r="H117" s="3" t="s">
        <v>297</v>
      </c>
      <c r="I117" s="7"/>
      <c r="J117" s="8" t="s">
        <v>128</v>
      </c>
      <c r="K117" s="7"/>
    </row>
    <row r="118" spans="1:11" ht="68.5" thickBot="1">
      <c r="A118" s="49"/>
      <c r="B118" s="49"/>
      <c r="C118" s="46"/>
      <c r="D118" s="46"/>
      <c r="E118" s="49"/>
      <c r="F118" s="3" t="s">
        <v>294</v>
      </c>
      <c r="G118" s="3" t="s">
        <v>298</v>
      </c>
      <c r="H118" s="3" t="s">
        <v>299</v>
      </c>
      <c r="I118" s="7"/>
      <c r="J118" s="8" t="s">
        <v>128</v>
      </c>
      <c r="K118" s="7"/>
    </row>
    <row r="119" spans="1:11" ht="68.5" thickBot="1">
      <c r="A119" s="47" t="s">
        <v>300</v>
      </c>
      <c r="B119" s="47" t="s">
        <v>195</v>
      </c>
      <c r="C119" s="44" t="s">
        <v>301</v>
      </c>
      <c r="D119" s="44" t="s">
        <v>293</v>
      </c>
      <c r="E119" s="47" t="s">
        <v>424</v>
      </c>
      <c r="F119" s="3" t="s">
        <v>294</v>
      </c>
      <c r="G119" s="3" t="s">
        <v>302</v>
      </c>
      <c r="H119" s="3" t="s">
        <v>299</v>
      </c>
      <c r="I119" s="7"/>
      <c r="J119" s="8" t="s">
        <v>128</v>
      </c>
      <c r="K119" s="7"/>
    </row>
    <row r="120" spans="1:11" ht="68.5" thickBot="1">
      <c r="A120" s="48"/>
      <c r="B120" s="48"/>
      <c r="C120" s="45"/>
      <c r="D120" s="45"/>
      <c r="E120" s="48"/>
      <c r="F120" s="3" t="s">
        <v>294</v>
      </c>
      <c r="G120" s="3" t="s">
        <v>200</v>
      </c>
      <c r="H120" s="3" t="s">
        <v>303</v>
      </c>
      <c r="I120" s="7"/>
      <c r="J120" s="8" t="s">
        <v>128</v>
      </c>
      <c r="K120" s="7"/>
    </row>
    <row r="121" spans="1:11" ht="68.5" thickBot="1">
      <c r="A121" s="49"/>
      <c r="B121" s="49"/>
      <c r="C121" s="46"/>
      <c r="D121" s="46"/>
      <c r="E121" s="49"/>
      <c r="F121" s="3" t="s">
        <v>294</v>
      </c>
      <c r="G121" s="3" t="s">
        <v>203</v>
      </c>
      <c r="H121" s="3" t="s">
        <v>299</v>
      </c>
      <c r="I121" s="7"/>
      <c r="J121" s="8" t="s">
        <v>128</v>
      </c>
      <c r="K121" s="7"/>
    </row>
    <row r="122" spans="1:11" ht="68.5" thickBot="1">
      <c r="A122" s="47" t="s">
        <v>304</v>
      </c>
      <c r="B122" s="47" t="s">
        <v>305</v>
      </c>
      <c r="C122" s="44" t="s">
        <v>306</v>
      </c>
      <c r="D122" s="44" t="s">
        <v>307</v>
      </c>
      <c r="E122" s="47" t="s">
        <v>428</v>
      </c>
      <c r="F122" s="3" t="s">
        <v>294</v>
      </c>
      <c r="G122" s="3" t="s">
        <v>302</v>
      </c>
      <c r="H122" s="3" t="s">
        <v>299</v>
      </c>
      <c r="I122" s="7"/>
      <c r="J122" s="8" t="s">
        <v>128</v>
      </c>
      <c r="K122" s="7"/>
    </row>
    <row r="123" spans="1:11" ht="51.5" thickBot="1">
      <c r="A123" s="49"/>
      <c r="B123" s="49"/>
      <c r="C123" s="46"/>
      <c r="D123" s="46"/>
      <c r="E123" s="49"/>
      <c r="F123" s="3" t="s">
        <v>294</v>
      </c>
      <c r="G123" s="3" t="s">
        <v>308</v>
      </c>
      <c r="H123" s="3" t="s">
        <v>309</v>
      </c>
      <c r="I123" s="7"/>
      <c r="J123" s="8" t="s">
        <v>128</v>
      </c>
      <c r="K123" s="7"/>
    </row>
    <row r="124" spans="1:11" ht="68.5" thickBot="1">
      <c r="A124" s="47" t="s">
        <v>310</v>
      </c>
      <c r="B124" s="47" t="s">
        <v>311</v>
      </c>
      <c r="C124" s="44" t="s">
        <v>312</v>
      </c>
      <c r="D124" s="44" t="s">
        <v>313</v>
      </c>
      <c r="E124" s="47" t="s">
        <v>429</v>
      </c>
      <c r="F124" s="3" t="s">
        <v>294</v>
      </c>
      <c r="G124" s="3" t="s">
        <v>302</v>
      </c>
      <c r="H124" s="3" t="s">
        <v>299</v>
      </c>
      <c r="I124" s="44" t="s">
        <v>314</v>
      </c>
      <c r="J124" s="8" t="s">
        <v>128</v>
      </c>
      <c r="K124" s="7"/>
    </row>
    <row r="125" spans="1:11" ht="119.5" thickBot="1">
      <c r="A125" s="49"/>
      <c r="B125" s="49"/>
      <c r="C125" s="46"/>
      <c r="D125" s="46"/>
      <c r="E125" s="49"/>
      <c r="F125" s="3" t="s">
        <v>294</v>
      </c>
      <c r="G125" s="3" t="s">
        <v>315</v>
      </c>
      <c r="H125" s="3" t="s">
        <v>316</v>
      </c>
      <c r="I125" s="46"/>
      <c r="J125" s="8" t="s">
        <v>128</v>
      </c>
      <c r="K125" s="7"/>
    </row>
    <row r="126" spans="1:11" ht="68.5" thickBot="1">
      <c r="A126" s="47" t="s">
        <v>317</v>
      </c>
      <c r="B126" s="47" t="s">
        <v>318</v>
      </c>
      <c r="C126" s="44" t="s">
        <v>319</v>
      </c>
      <c r="D126" s="44" t="s">
        <v>320</v>
      </c>
      <c r="E126" s="47" t="s">
        <v>430</v>
      </c>
      <c r="F126" s="44" t="s">
        <v>321</v>
      </c>
      <c r="G126" s="3" t="s">
        <v>302</v>
      </c>
      <c r="H126" s="3" t="s">
        <v>299</v>
      </c>
      <c r="I126" s="7"/>
      <c r="J126" s="8" t="s">
        <v>128</v>
      </c>
      <c r="K126" s="7"/>
    </row>
    <row r="127" spans="1:11" ht="51.5" thickBot="1">
      <c r="A127" s="48"/>
      <c r="B127" s="48"/>
      <c r="C127" s="45"/>
      <c r="D127" s="45"/>
      <c r="E127" s="48"/>
      <c r="F127" s="45"/>
      <c r="G127" s="3" t="s">
        <v>322</v>
      </c>
      <c r="H127" s="3" t="s">
        <v>323</v>
      </c>
      <c r="I127" s="7"/>
      <c r="J127" s="8" t="s">
        <v>128</v>
      </c>
      <c r="K127" s="7"/>
    </row>
    <row r="128" spans="1:11" ht="17.5" thickBot="1">
      <c r="A128" s="48"/>
      <c r="B128" s="48"/>
      <c r="C128" s="45"/>
      <c r="D128" s="45"/>
      <c r="E128" s="48"/>
      <c r="F128" s="45"/>
      <c r="G128" s="3" t="s">
        <v>324</v>
      </c>
      <c r="H128" s="3" t="s">
        <v>325</v>
      </c>
      <c r="I128" s="7"/>
      <c r="J128" s="8" t="s">
        <v>128</v>
      </c>
      <c r="K128" s="7"/>
    </row>
    <row r="129" spans="1:11" ht="102.5" thickBot="1">
      <c r="A129" s="48"/>
      <c r="B129" s="48"/>
      <c r="C129" s="45"/>
      <c r="D129" s="45"/>
      <c r="E129" s="48"/>
      <c r="F129" s="45"/>
      <c r="G129" s="3" t="s">
        <v>326</v>
      </c>
      <c r="H129" s="3" t="s">
        <v>106</v>
      </c>
      <c r="I129" s="7"/>
      <c r="J129" s="8" t="s">
        <v>128</v>
      </c>
      <c r="K129" s="7"/>
    </row>
    <row r="130" spans="1:11" ht="68.5" thickBot="1">
      <c r="A130" s="48"/>
      <c r="B130" s="48"/>
      <c r="C130" s="45"/>
      <c r="D130" s="45"/>
      <c r="E130" s="48"/>
      <c r="F130" s="45"/>
      <c r="G130" s="3" t="s">
        <v>327</v>
      </c>
      <c r="H130" s="3" t="s">
        <v>328</v>
      </c>
      <c r="I130" s="7"/>
      <c r="J130" s="8" t="s">
        <v>128</v>
      </c>
      <c r="K130" s="6" t="s">
        <v>329</v>
      </c>
    </row>
    <row r="131" spans="1:11" ht="34.5" thickBot="1">
      <c r="A131" s="49"/>
      <c r="B131" s="49"/>
      <c r="C131" s="46"/>
      <c r="D131" s="46"/>
      <c r="E131" s="49"/>
      <c r="F131" s="46"/>
      <c r="G131" s="3" t="s">
        <v>330</v>
      </c>
      <c r="H131" s="3" t="s">
        <v>331</v>
      </c>
      <c r="I131" s="7"/>
      <c r="J131" s="8" t="s">
        <v>128</v>
      </c>
      <c r="K131" s="6" t="s">
        <v>332</v>
      </c>
    </row>
    <row r="132" spans="1:11" ht="68.5" thickBot="1">
      <c r="A132" s="47" t="s">
        <v>333</v>
      </c>
      <c r="B132" s="47" t="s">
        <v>334</v>
      </c>
      <c r="C132" s="44" t="s">
        <v>421</v>
      </c>
      <c r="D132" s="44" t="s">
        <v>335</v>
      </c>
      <c r="E132" s="47" t="s">
        <v>431</v>
      </c>
      <c r="F132" s="44" t="s">
        <v>321</v>
      </c>
      <c r="G132" s="3" t="s">
        <v>302</v>
      </c>
      <c r="H132" s="3" t="s">
        <v>299</v>
      </c>
      <c r="I132" s="7"/>
      <c r="J132" s="8" t="s">
        <v>128</v>
      </c>
      <c r="K132" s="7"/>
    </row>
    <row r="133" spans="1:11" ht="51.5" thickBot="1">
      <c r="A133" s="48"/>
      <c r="B133" s="48"/>
      <c r="C133" s="45"/>
      <c r="D133" s="45"/>
      <c r="E133" s="48"/>
      <c r="F133" s="45"/>
      <c r="G133" s="3" t="s">
        <v>322</v>
      </c>
      <c r="H133" s="3" t="s">
        <v>323</v>
      </c>
      <c r="I133" s="7"/>
      <c r="J133" s="8" t="s">
        <v>128</v>
      </c>
      <c r="K133" s="7"/>
    </row>
    <row r="134" spans="1:11" ht="17.5" thickBot="1">
      <c r="A134" s="48"/>
      <c r="B134" s="48"/>
      <c r="C134" s="45"/>
      <c r="D134" s="45"/>
      <c r="E134" s="48"/>
      <c r="F134" s="45"/>
      <c r="G134" s="3" t="s">
        <v>336</v>
      </c>
      <c r="H134" s="3" t="s">
        <v>337</v>
      </c>
      <c r="I134" s="7"/>
      <c r="J134" s="8" t="s">
        <v>128</v>
      </c>
      <c r="K134" s="7"/>
    </row>
    <row r="135" spans="1:11" ht="68.5" thickBot="1">
      <c r="A135" s="48"/>
      <c r="B135" s="48"/>
      <c r="C135" s="45"/>
      <c r="D135" s="45"/>
      <c r="E135" s="48"/>
      <c r="F135" s="45"/>
      <c r="G135" s="3" t="s">
        <v>327</v>
      </c>
      <c r="H135" s="3" t="s">
        <v>338</v>
      </c>
      <c r="I135" s="7"/>
      <c r="J135" s="8" t="s">
        <v>128</v>
      </c>
      <c r="K135" s="6" t="s">
        <v>329</v>
      </c>
    </row>
    <row r="136" spans="1:11" ht="34.5" thickBot="1">
      <c r="A136" s="49"/>
      <c r="B136" s="49"/>
      <c r="C136" s="46"/>
      <c r="D136" s="46"/>
      <c r="E136" s="49"/>
      <c r="F136" s="46"/>
      <c r="G136" s="3" t="s">
        <v>330</v>
      </c>
      <c r="H136" s="3" t="s">
        <v>339</v>
      </c>
      <c r="I136" s="7"/>
      <c r="J136" s="8" t="s">
        <v>128</v>
      </c>
      <c r="K136" s="6" t="s">
        <v>332</v>
      </c>
    </row>
    <row r="137" spans="1:11" ht="68.5" thickBot="1">
      <c r="A137" s="47" t="s">
        <v>340</v>
      </c>
      <c r="B137" s="47" t="s">
        <v>341</v>
      </c>
      <c r="C137" s="44" t="s">
        <v>342</v>
      </c>
      <c r="D137" s="44" t="s">
        <v>320</v>
      </c>
      <c r="E137" s="47" t="s">
        <v>427</v>
      </c>
      <c r="F137" s="44" t="s">
        <v>321</v>
      </c>
      <c r="G137" s="3" t="s">
        <v>302</v>
      </c>
      <c r="H137" s="3" t="s">
        <v>299</v>
      </c>
      <c r="I137" s="44" t="s">
        <v>314</v>
      </c>
      <c r="J137" s="8" t="s">
        <v>128</v>
      </c>
      <c r="K137" s="7"/>
    </row>
    <row r="138" spans="1:11" ht="68.5" thickBot="1">
      <c r="A138" s="48"/>
      <c r="B138" s="48"/>
      <c r="C138" s="45"/>
      <c r="D138" s="45"/>
      <c r="E138" s="48"/>
      <c r="F138" s="45"/>
      <c r="G138" s="3" t="s">
        <v>343</v>
      </c>
      <c r="H138" s="3" t="s">
        <v>316</v>
      </c>
      <c r="I138" s="45"/>
      <c r="J138" s="8" t="s">
        <v>128</v>
      </c>
      <c r="K138" s="7"/>
    </row>
    <row r="139" spans="1:11" ht="17.5" thickBot="1">
      <c r="A139" s="48"/>
      <c r="B139" s="48"/>
      <c r="C139" s="45"/>
      <c r="D139" s="45"/>
      <c r="E139" s="48"/>
      <c r="F139" s="45"/>
      <c r="G139" s="3" t="s">
        <v>324</v>
      </c>
      <c r="H139" s="3" t="s">
        <v>325</v>
      </c>
      <c r="I139" s="45"/>
      <c r="J139" s="8" t="s">
        <v>128</v>
      </c>
      <c r="K139" s="7"/>
    </row>
    <row r="140" spans="1:11" ht="68.5" thickBot="1">
      <c r="A140" s="48"/>
      <c r="B140" s="48"/>
      <c r="C140" s="45"/>
      <c r="D140" s="45"/>
      <c r="E140" s="48"/>
      <c r="F140" s="45"/>
      <c r="G140" s="3" t="s">
        <v>327</v>
      </c>
      <c r="H140" s="3" t="s">
        <v>328</v>
      </c>
      <c r="I140" s="45"/>
      <c r="J140" s="8" t="s">
        <v>128</v>
      </c>
      <c r="K140" s="6" t="s">
        <v>329</v>
      </c>
    </row>
    <row r="141" spans="1:11" ht="34.5" thickBot="1">
      <c r="A141" s="49"/>
      <c r="B141" s="49"/>
      <c r="C141" s="46"/>
      <c r="D141" s="46"/>
      <c r="E141" s="49"/>
      <c r="F141" s="46"/>
      <c r="G141" s="3" t="s">
        <v>330</v>
      </c>
      <c r="H141" s="3" t="s">
        <v>339</v>
      </c>
      <c r="I141" s="46"/>
      <c r="J141" s="8" t="s">
        <v>128</v>
      </c>
      <c r="K141" s="6" t="s">
        <v>332</v>
      </c>
    </row>
    <row r="142" spans="1:11">
      <c r="A142" s="27"/>
      <c r="B142" s="27"/>
      <c r="C142" s="27"/>
      <c r="D142" s="27"/>
      <c r="E142" s="27"/>
      <c r="F142" s="27"/>
      <c r="G142" s="27"/>
      <c r="H142" s="27"/>
      <c r="I142" s="27"/>
      <c r="J142" s="27"/>
    </row>
    <row r="143" spans="1:11">
      <c r="A143" s="27"/>
      <c r="B143" s="27"/>
      <c r="C143" s="27"/>
      <c r="D143" s="27"/>
      <c r="E143" s="27"/>
      <c r="F143" s="27"/>
      <c r="G143" s="27"/>
      <c r="H143" s="27"/>
      <c r="I143" s="27"/>
      <c r="J143" s="27"/>
    </row>
    <row r="144" spans="1:11">
      <c r="A144" s="27"/>
      <c r="B144" s="27"/>
      <c r="C144" s="27"/>
      <c r="D144" s="27"/>
      <c r="E144" s="27"/>
      <c r="F144" s="27"/>
      <c r="G144" s="27"/>
      <c r="H144" s="27"/>
      <c r="I144" s="27"/>
      <c r="J144" s="27"/>
    </row>
    <row r="145" spans="1:10">
      <c r="A145" s="27"/>
      <c r="B145" s="27"/>
      <c r="C145" s="27"/>
      <c r="D145" s="27"/>
      <c r="E145" s="27"/>
      <c r="F145" s="27"/>
      <c r="G145" s="27"/>
      <c r="H145" s="27"/>
      <c r="I145" s="27"/>
      <c r="J145" s="27"/>
    </row>
    <row r="146" spans="1:10">
      <c r="A146" s="27"/>
      <c r="B146" s="27"/>
      <c r="C146" s="27"/>
      <c r="D146" s="27"/>
      <c r="E146" s="27"/>
      <c r="F146" s="27"/>
      <c r="G146" s="27"/>
      <c r="H146" s="27"/>
      <c r="I146" s="27"/>
      <c r="J146" s="27"/>
    </row>
    <row r="147" spans="1:10">
      <c r="A147" s="27"/>
      <c r="B147" s="27"/>
      <c r="C147" s="27"/>
      <c r="D147" s="27"/>
      <c r="E147" s="27"/>
      <c r="F147" s="27"/>
      <c r="G147" s="27"/>
      <c r="H147" s="27"/>
      <c r="I147" s="27"/>
      <c r="J147" s="27"/>
    </row>
    <row r="148" spans="1:10">
      <c r="A148" s="27"/>
      <c r="B148" s="27"/>
      <c r="C148" s="27"/>
      <c r="D148" s="27"/>
      <c r="E148" s="27"/>
      <c r="F148" s="27"/>
      <c r="G148" s="27"/>
      <c r="H148" s="27"/>
      <c r="I148" s="27"/>
      <c r="J148" s="27"/>
    </row>
    <row r="149" spans="1:10">
      <c r="A149" s="27"/>
      <c r="B149" s="27"/>
      <c r="C149" s="27"/>
      <c r="D149" s="27"/>
      <c r="E149" s="27"/>
      <c r="F149" s="27"/>
      <c r="G149" s="27"/>
      <c r="H149" s="27"/>
      <c r="I149" s="27"/>
      <c r="J149" s="27"/>
    </row>
    <row r="150" spans="1:10">
      <c r="A150" s="27"/>
      <c r="B150" s="27"/>
      <c r="C150" s="27"/>
      <c r="D150" s="27"/>
      <c r="E150" s="27"/>
      <c r="F150" s="27"/>
      <c r="G150" s="27"/>
      <c r="H150" s="27"/>
      <c r="I150" s="27"/>
      <c r="J150" s="27"/>
    </row>
    <row r="151" spans="1:10">
      <c r="A151" s="27"/>
      <c r="B151" s="27"/>
      <c r="C151" s="27"/>
      <c r="D151" s="27"/>
      <c r="E151" s="27"/>
      <c r="F151" s="27"/>
      <c r="G151" s="27"/>
      <c r="H151" s="27"/>
      <c r="I151" s="27"/>
      <c r="J151" s="27"/>
    </row>
    <row r="152" spans="1:10">
      <c r="A152" s="27"/>
      <c r="B152" s="27"/>
      <c r="C152" s="27"/>
      <c r="D152" s="27"/>
      <c r="E152" s="27"/>
      <c r="F152" s="27"/>
      <c r="G152" s="27"/>
      <c r="H152" s="27"/>
      <c r="I152" s="27"/>
      <c r="J152" s="27"/>
    </row>
    <row r="153" spans="1:10">
      <c r="A153" s="27"/>
      <c r="B153" s="27"/>
      <c r="C153" s="27"/>
      <c r="D153" s="27"/>
      <c r="E153" s="27"/>
      <c r="F153" s="27"/>
      <c r="G153" s="27"/>
      <c r="H153" s="27"/>
      <c r="I153" s="27"/>
      <c r="J153" s="27"/>
    </row>
    <row r="154" spans="1:10">
      <c r="A154" s="27"/>
      <c r="B154" s="27"/>
      <c r="C154" s="27"/>
      <c r="D154" s="27"/>
      <c r="E154" s="27"/>
      <c r="F154" s="27"/>
      <c r="G154" s="27"/>
      <c r="H154" s="27"/>
      <c r="I154" s="27"/>
      <c r="J154" s="27"/>
    </row>
    <row r="155" spans="1:10">
      <c r="A155" s="27"/>
      <c r="B155" s="27"/>
      <c r="C155" s="27"/>
      <c r="D155" s="27"/>
      <c r="E155" s="27"/>
      <c r="F155" s="27"/>
      <c r="G155" s="27"/>
      <c r="H155" s="27"/>
      <c r="I155" s="27"/>
      <c r="J155" s="27"/>
    </row>
    <row r="156" spans="1:10">
      <c r="A156" s="27"/>
      <c r="B156" s="27"/>
      <c r="C156" s="27"/>
      <c r="D156" s="27"/>
      <c r="E156" s="27"/>
      <c r="F156" s="27"/>
      <c r="G156" s="27"/>
      <c r="H156" s="27"/>
      <c r="I156" s="27"/>
      <c r="J156" s="27"/>
    </row>
    <row r="157" spans="1:10">
      <c r="A157" s="27"/>
      <c r="B157" s="27"/>
      <c r="C157" s="27"/>
      <c r="D157" s="27"/>
      <c r="E157" s="27"/>
      <c r="F157" s="27"/>
      <c r="G157" s="27"/>
      <c r="H157" s="27"/>
      <c r="I157" s="27"/>
      <c r="J157" s="27"/>
    </row>
    <row r="158" spans="1:10">
      <c r="A158" s="27"/>
      <c r="B158" s="27"/>
      <c r="C158" s="27"/>
      <c r="D158" s="27"/>
      <c r="E158" s="27"/>
      <c r="F158" s="27"/>
      <c r="G158" s="27"/>
      <c r="H158" s="27"/>
      <c r="I158" s="27"/>
      <c r="J158" s="27"/>
    </row>
    <row r="159" spans="1:10">
      <c r="A159" s="27"/>
      <c r="B159" s="27"/>
      <c r="C159" s="27"/>
      <c r="D159" s="27"/>
      <c r="E159" s="27"/>
      <c r="F159" s="27"/>
      <c r="G159" s="27"/>
      <c r="H159" s="27"/>
      <c r="I159" s="27"/>
      <c r="J159" s="27"/>
    </row>
    <row r="160" spans="1:10">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sheetData>
  <mergeCells count="223">
    <mergeCell ref="I137:I141"/>
    <mergeCell ref="A137:A141"/>
    <mergeCell ref="B137:B141"/>
    <mergeCell ref="C137:C141"/>
    <mergeCell ref="D137:D141"/>
    <mergeCell ref="E137:E141"/>
    <mergeCell ref="F137:F141"/>
    <mergeCell ref="A132:A136"/>
    <mergeCell ref="B132:B136"/>
    <mergeCell ref="C132:C136"/>
    <mergeCell ref="D132:D136"/>
    <mergeCell ref="E132:E136"/>
    <mergeCell ref="F132:F136"/>
    <mergeCell ref="A126:A131"/>
    <mergeCell ref="B126:B131"/>
    <mergeCell ref="C126:C131"/>
    <mergeCell ref="D126:D131"/>
    <mergeCell ref="E126:E131"/>
    <mergeCell ref="F126:F131"/>
    <mergeCell ref="A124:A125"/>
    <mergeCell ref="B124:B125"/>
    <mergeCell ref="C124:C125"/>
    <mergeCell ref="D124:D125"/>
    <mergeCell ref="E124:E125"/>
    <mergeCell ref="I124:I125"/>
    <mergeCell ref="A119:A121"/>
    <mergeCell ref="B119:B121"/>
    <mergeCell ref="C119:C121"/>
    <mergeCell ref="D119:D121"/>
    <mergeCell ref="E119:E121"/>
    <mergeCell ref="A122:A123"/>
    <mergeCell ref="B122:B123"/>
    <mergeCell ref="C122:C123"/>
    <mergeCell ref="D122:D123"/>
    <mergeCell ref="E122:E123"/>
    <mergeCell ref="I109:I115"/>
    <mergeCell ref="A116:A118"/>
    <mergeCell ref="B116:B118"/>
    <mergeCell ref="C116:C118"/>
    <mergeCell ref="D116:D118"/>
    <mergeCell ref="E116:E118"/>
    <mergeCell ref="A109:A115"/>
    <mergeCell ref="B109:B115"/>
    <mergeCell ref="C109:C115"/>
    <mergeCell ref="D109:D115"/>
    <mergeCell ref="E109:E115"/>
    <mergeCell ref="F109:F115"/>
    <mergeCell ref="I93:I95"/>
    <mergeCell ref="A99:A106"/>
    <mergeCell ref="B99:B106"/>
    <mergeCell ref="C99:C106"/>
    <mergeCell ref="D99:D106"/>
    <mergeCell ref="E99:E106"/>
    <mergeCell ref="F99:F106"/>
    <mergeCell ref="I100:I106"/>
    <mergeCell ref="A93:A95"/>
    <mergeCell ref="B93:B95"/>
    <mergeCell ref="C93:C95"/>
    <mergeCell ref="D93:D95"/>
    <mergeCell ref="E93:E95"/>
    <mergeCell ref="F93:F95"/>
    <mergeCell ref="K89:K90"/>
    <mergeCell ref="A91:A92"/>
    <mergeCell ref="B91:B92"/>
    <mergeCell ref="C91:C92"/>
    <mergeCell ref="D91:D92"/>
    <mergeCell ref="E91:E92"/>
    <mergeCell ref="F91:F92"/>
    <mergeCell ref="I91:I92"/>
    <mergeCell ref="I83:I86"/>
    <mergeCell ref="A87:A90"/>
    <mergeCell ref="B87:B90"/>
    <mergeCell ref="C87:C90"/>
    <mergeCell ref="D87:D90"/>
    <mergeCell ref="E87:E90"/>
    <mergeCell ref="F87:F90"/>
    <mergeCell ref="I87:I90"/>
    <mergeCell ref="A83:A86"/>
    <mergeCell ref="B83:B86"/>
    <mergeCell ref="C83:C86"/>
    <mergeCell ref="D83:D86"/>
    <mergeCell ref="E83:E86"/>
    <mergeCell ref="F83:F86"/>
    <mergeCell ref="I74:I75"/>
    <mergeCell ref="A80:A82"/>
    <mergeCell ref="B80:B82"/>
    <mergeCell ref="C80:C82"/>
    <mergeCell ref="D80:D82"/>
    <mergeCell ref="E80:E82"/>
    <mergeCell ref="F80:F82"/>
    <mergeCell ref="I81:I82"/>
    <mergeCell ref="A74:A75"/>
    <mergeCell ref="B74:B75"/>
    <mergeCell ref="C74:C75"/>
    <mergeCell ref="D74:D75"/>
    <mergeCell ref="E74:E75"/>
    <mergeCell ref="F74:F75"/>
    <mergeCell ref="K69:K70"/>
    <mergeCell ref="A72:A73"/>
    <mergeCell ref="B72:B73"/>
    <mergeCell ref="C72:C73"/>
    <mergeCell ref="D72:D73"/>
    <mergeCell ref="E72:E73"/>
    <mergeCell ref="F72:F73"/>
    <mergeCell ref="I72:I73"/>
    <mergeCell ref="I65:I68"/>
    <mergeCell ref="A69:A70"/>
    <mergeCell ref="B69:B70"/>
    <mergeCell ref="C69:C70"/>
    <mergeCell ref="D69:D70"/>
    <mergeCell ref="E69:E70"/>
    <mergeCell ref="F69:F70"/>
    <mergeCell ref="I69:I70"/>
    <mergeCell ref="A65:A68"/>
    <mergeCell ref="B65:B68"/>
    <mergeCell ref="C65:C68"/>
    <mergeCell ref="D65:D68"/>
    <mergeCell ref="E65:E68"/>
    <mergeCell ref="F65:F68"/>
    <mergeCell ref="A51:A52"/>
    <mergeCell ref="B51:B52"/>
    <mergeCell ref="C51:C52"/>
    <mergeCell ref="D51:D52"/>
    <mergeCell ref="E51:E52"/>
    <mergeCell ref="F51:F52"/>
    <mergeCell ref="I51:I52"/>
    <mergeCell ref="I54:I56"/>
    <mergeCell ref="A58:A64"/>
    <mergeCell ref="B58:B64"/>
    <mergeCell ref="C58:C64"/>
    <mergeCell ref="D58:D64"/>
    <mergeCell ref="E58:E64"/>
    <mergeCell ref="F58:F64"/>
    <mergeCell ref="I58:I64"/>
    <mergeCell ref="A54:A56"/>
    <mergeCell ref="B54:B56"/>
    <mergeCell ref="C54:C56"/>
    <mergeCell ref="D54:D56"/>
    <mergeCell ref="E54:E56"/>
    <mergeCell ref="F54:F56"/>
    <mergeCell ref="I27:I34"/>
    <mergeCell ref="J27:J34"/>
    <mergeCell ref="F35:F42"/>
    <mergeCell ref="I35:I42"/>
    <mergeCell ref="J35:J42"/>
    <mergeCell ref="A43:A50"/>
    <mergeCell ref="B43:B50"/>
    <mergeCell ref="C43:C50"/>
    <mergeCell ref="D43:D50"/>
    <mergeCell ref="E43:E50"/>
    <mergeCell ref="A27:A42"/>
    <mergeCell ref="B27:B42"/>
    <mergeCell ref="C27:C42"/>
    <mergeCell ref="D27:D42"/>
    <mergeCell ref="E27:E42"/>
    <mergeCell ref="F27:F34"/>
    <mergeCell ref="F43:F50"/>
    <mergeCell ref="I43:I50"/>
    <mergeCell ref="J43:J50"/>
    <mergeCell ref="I21:I22"/>
    <mergeCell ref="J21:J22"/>
    <mergeCell ref="A23:A26"/>
    <mergeCell ref="B23:B26"/>
    <mergeCell ref="C23:C26"/>
    <mergeCell ref="D23:D26"/>
    <mergeCell ref="E23:E26"/>
    <mergeCell ref="F23:F26"/>
    <mergeCell ref="I23:I26"/>
    <mergeCell ref="J23:J26"/>
    <mergeCell ref="A21:A22"/>
    <mergeCell ref="B21:B22"/>
    <mergeCell ref="C21:C22"/>
    <mergeCell ref="D21:D22"/>
    <mergeCell ref="E21:E22"/>
    <mergeCell ref="F21:F22"/>
    <mergeCell ref="I17:I18"/>
    <mergeCell ref="J17:J18"/>
    <mergeCell ref="A19:A20"/>
    <mergeCell ref="B19:B20"/>
    <mergeCell ref="C19:C20"/>
    <mergeCell ref="D19:D20"/>
    <mergeCell ref="E19:E20"/>
    <mergeCell ref="F19:F20"/>
    <mergeCell ref="I19:I20"/>
    <mergeCell ref="J19:J20"/>
    <mergeCell ref="A17:A18"/>
    <mergeCell ref="B17:B18"/>
    <mergeCell ref="C17:C18"/>
    <mergeCell ref="D17:D18"/>
    <mergeCell ref="E17:E18"/>
    <mergeCell ref="F17:F18"/>
    <mergeCell ref="I11:I14"/>
    <mergeCell ref="J11:J14"/>
    <mergeCell ref="A15:A16"/>
    <mergeCell ref="B15:B16"/>
    <mergeCell ref="C15:C16"/>
    <mergeCell ref="D15:D16"/>
    <mergeCell ref="E15:E16"/>
    <mergeCell ref="F15:F16"/>
    <mergeCell ref="I15:I16"/>
    <mergeCell ref="J15:J16"/>
    <mergeCell ref="A11:A14"/>
    <mergeCell ref="B11:B14"/>
    <mergeCell ref="C11:C14"/>
    <mergeCell ref="D11:D14"/>
    <mergeCell ref="E11:E14"/>
    <mergeCell ref="F11:F14"/>
    <mergeCell ref="I2:I4"/>
    <mergeCell ref="J2:J4"/>
    <mergeCell ref="A6:A10"/>
    <mergeCell ref="B6:B10"/>
    <mergeCell ref="C6:C10"/>
    <mergeCell ref="D6:D10"/>
    <mergeCell ref="E6:E10"/>
    <mergeCell ref="F6:F10"/>
    <mergeCell ref="I6:I10"/>
    <mergeCell ref="J6:J10"/>
    <mergeCell ref="A2:A4"/>
    <mergeCell ref="B2:B4"/>
    <mergeCell ref="C2:C4"/>
    <mergeCell ref="D2:D4"/>
    <mergeCell ref="E2:E4"/>
    <mergeCell ref="F2:F4"/>
  </mergeCells>
  <phoneticPr fontId="1" type="noConversion"/>
  <conditionalFormatting sqref="A1:D26 G1:K26 A43:D141 G35:K141">
    <cfRule type="containsText" dxfId="70" priority="12" operator="containsText" text="TBD">
      <formula>NOT(ISERROR(SEARCH("TBD",A1)))</formula>
    </cfRule>
  </conditionalFormatting>
  <conditionalFormatting sqref="A27:D27 B28:D34 G27:K34">
    <cfRule type="containsText" dxfId="69" priority="11" operator="containsText" text="TBD">
      <formula>NOT(ISERROR(SEARCH("TBD",A27)))</formula>
    </cfRule>
  </conditionalFormatting>
  <conditionalFormatting sqref="E2:E26 E43:E50">
    <cfRule type="containsText" dxfId="68" priority="10" operator="containsText" text="TBD">
      <formula>NOT(ISERROR(SEARCH("TBD",E2)))</formula>
    </cfRule>
  </conditionalFormatting>
  <conditionalFormatting sqref="E27">
    <cfRule type="containsText" dxfId="67" priority="9" operator="containsText" text="TBD">
      <formula>NOT(ISERROR(SEARCH("TBD",E27)))</formula>
    </cfRule>
  </conditionalFormatting>
  <conditionalFormatting sqref="E1">
    <cfRule type="containsText" dxfId="66" priority="8" operator="containsText" text="TBD">
      <formula>NOT(ISERROR(SEARCH("TBD",E1)))</formula>
    </cfRule>
  </conditionalFormatting>
  <conditionalFormatting sqref="E51:E68">
    <cfRule type="containsText" dxfId="65" priority="7" operator="containsText" text="TBD">
      <formula>NOT(ISERROR(SEARCH("TBD",E51)))</formula>
    </cfRule>
  </conditionalFormatting>
  <conditionalFormatting sqref="E69:E90">
    <cfRule type="containsText" dxfId="64" priority="6" operator="containsText" text="TBD">
      <formula>NOT(ISERROR(SEARCH("TBD",E69)))</formula>
    </cfRule>
  </conditionalFormatting>
  <conditionalFormatting sqref="E91:E115">
    <cfRule type="containsText" dxfId="63" priority="5" operator="containsText" text="TBD">
      <formula>NOT(ISERROR(SEARCH("TBD",E91)))</formula>
    </cfRule>
  </conditionalFormatting>
  <conditionalFormatting sqref="E116 E122:E141">
    <cfRule type="containsText" dxfId="62" priority="4" operator="containsText" text="TBD">
      <formula>NOT(ISERROR(SEARCH("TBD",E116)))</formula>
    </cfRule>
  </conditionalFormatting>
  <conditionalFormatting sqref="E119">
    <cfRule type="containsText" dxfId="61" priority="3" operator="containsText" text="TBD">
      <formula>NOT(ISERROR(SEARCH("TBD",E119)))</formula>
    </cfRule>
  </conditionalFormatting>
  <conditionalFormatting sqref="F1:F26 F35:F141">
    <cfRule type="containsText" dxfId="60" priority="2" operator="containsText" text="TBD">
      <formula>NOT(ISERROR(SEARCH("TBD",F1)))</formula>
    </cfRule>
  </conditionalFormatting>
  <conditionalFormatting sqref="F27:F34">
    <cfRule type="containsText" dxfId="59" priority="1" operator="containsText" text="TBD">
      <formula>NOT(ISERROR(SEARCH("TBD",F27)))</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818A0-D640-4EDD-9870-00B9EC7CB29B}">
  <dimension ref="A1:H17"/>
  <sheetViews>
    <sheetView zoomScale="70" workbookViewId="0">
      <selection activeCell="E12" sqref="A1:H16"/>
    </sheetView>
  </sheetViews>
  <sheetFormatPr defaultRowHeight="17"/>
  <cols>
    <col min="1" max="1" width="38.08203125" bestFit="1" customWidth="1"/>
    <col min="2" max="2" width="9.5" bestFit="1" customWidth="1"/>
    <col min="3" max="3" width="8.4140625" bestFit="1" customWidth="1"/>
    <col min="4" max="4" width="13.9140625" bestFit="1" customWidth="1"/>
    <col min="5" max="5" width="47.83203125" bestFit="1" customWidth="1"/>
    <col min="6" max="6" width="76.33203125" bestFit="1" customWidth="1"/>
    <col min="7" max="7" width="44.9140625" bestFit="1" customWidth="1"/>
    <col min="8" max="8" width="13.9140625" bestFit="1" customWidth="1"/>
  </cols>
  <sheetData>
    <row r="1" spans="1:8" s="37" customFormat="1">
      <c r="A1" s="30" t="s">
        <v>437</v>
      </c>
      <c r="B1" s="30" t="s">
        <v>344</v>
      </c>
      <c r="C1" s="30" t="s">
        <v>9</v>
      </c>
      <c r="D1" s="30" t="s">
        <v>11</v>
      </c>
      <c r="E1" s="30" t="s">
        <v>345</v>
      </c>
      <c r="F1" s="15" t="s">
        <v>346</v>
      </c>
      <c r="G1" s="15" t="s">
        <v>347</v>
      </c>
      <c r="H1" s="15" t="s">
        <v>348</v>
      </c>
    </row>
    <row r="2" spans="1:8" s="37" customFormat="1">
      <c r="A2" s="36" t="s">
        <v>436</v>
      </c>
      <c r="B2" s="31">
        <v>46113</v>
      </c>
      <c r="C2" s="32" t="s">
        <v>35</v>
      </c>
      <c r="D2" s="32" t="s">
        <v>349</v>
      </c>
      <c r="E2" s="33" t="s">
        <v>350</v>
      </c>
      <c r="F2" s="33" t="s">
        <v>351</v>
      </c>
      <c r="G2" s="33" t="s">
        <v>352</v>
      </c>
      <c r="H2" s="34"/>
    </row>
    <row r="3" spans="1:8" s="37" customFormat="1" ht="85">
      <c r="A3" s="36" t="s">
        <v>436</v>
      </c>
      <c r="B3" s="31">
        <v>46113</v>
      </c>
      <c r="C3" s="32" t="s">
        <v>94</v>
      </c>
      <c r="D3" s="33" t="str">
        <f>IFERROR(INDEX('HRK 테스트'!B:B,MATCH(TRIM(CLEAN(C3)),'HRK 테스트'!A:A,0)),
 IFERROR(INDEX('HLM 테스트'!B:B,MATCH(TRIM(CLEAN(C3)),'HLM 테스트'!A:A,0)),
 IFERROR(INDEX('HTR 테스트'!B:B,MATCH(TRIM(CLEAN(C3)),'HTR 테스트'!A:A,0)),
 IFERROR(INDEX('HDR 테스트'!B:B,MATCH(TRIM(CLEAN(C3)),'HDR 테스트'!A:A,0)),
 IFERROR(INDEX('HDC 테스트'!B:B,MATCH(TRIM(CLEAN(C3)),'HDC 테스트'!A:A,0)),"")))))</f>
        <v>Server 재연결 시 복구</v>
      </c>
      <c r="E3" s="36" t="str">
        <f>IFERROR(INDEX('HRK 테스트'!D:D,MATCH(TRIM(CLEAN(C3)),'HRK 테스트'!A:A,0)),
 IFERROR(INDEX('HLM 테스트'!D:D,MATCH(TRIM(CLEAN(C3)),'HLM 테스트'!A:A,0)),
 IFERROR(INDEX('HTR 테스트'!D:D,MATCH(TRIM(CLEAN(C3)),'HTR 테스트'!A:A,0)),
 IFERROR(INDEX('HDR 테스트'!D:D,MATCH(TRIM(CLEAN(C3)),'HDR 테스트'!A:A,0)),
 IFERROR(INDEX('HDC 테스트'!D:D,MATCH(TRIM(CLEAN(C3)),'HDC 테스트'!A:A,0)),"")))))</f>
        <v>1. Server 접속상태 표시
2. Server와의 접속상태를 갱신하고, 데이터 전송 성공
3. 데이터 전송 실패시 에러메세지 확인( DR(Server)와 끊어짐 상태 표시 또는 전송실패 표시 )
4. 실패 이후 재전송 성공</v>
      </c>
      <c r="F3" s="33" t="s">
        <v>353</v>
      </c>
      <c r="G3" s="33" t="s">
        <v>354</v>
      </c>
      <c r="H3" s="34"/>
    </row>
    <row r="4" spans="1:8" s="37" customFormat="1" ht="68">
      <c r="A4" s="36" t="s">
        <v>436</v>
      </c>
      <c r="B4" s="31">
        <v>46113</v>
      </c>
      <c r="C4" s="32" t="s">
        <v>116</v>
      </c>
      <c r="D4" s="33" t="str">
        <f>IFERROR(INDEX('HRK 테스트'!B:B,MATCH(TRIM(CLEAN(C4)),'HRK 테스트'!A:A,0)),
 IFERROR(INDEX('HLM 테스트'!B:B,MATCH(TRIM(CLEAN(C4)),'HLM 테스트'!A:A,0)),
 IFERROR(INDEX('HTR 테스트'!B:B,MATCH(TRIM(CLEAN(C4)),'HTR 테스트'!A:A,0)),
 IFERROR(INDEX('HDR 테스트'!B:B,MATCH(TRIM(CLEAN(C4)),'HDR 테스트'!A:A,0)),
 IFERROR(INDEX('HDC 테스트'!B:B,MATCH(TRIM(CLEAN(C4)),'HDC 테스트'!A:A,0)),"")))))</f>
        <v>장비 재부팅 시 복구</v>
      </c>
      <c r="E4" s="36" t="str">
        <f>IFERROR(INDEX('HRK 테스트'!D:D,MATCH(TRIM(CLEAN(C4)),'HRK 테스트'!A:A,0)),
 IFERROR(INDEX('HLM 테스트'!D:D,MATCH(TRIM(CLEAN(C4)),'HLM 테스트'!A:A,0)),
 IFERROR(INDEX('HTR 테스트'!D:D,MATCH(TRIM(CLEAN(C4)),'HTR 테스트'!A:A,0)),
 IFERROR(INDEX('HDR 테스트'!D:D,MATCH(TRIM(CLEAN(C4)),'HDR 테스트'!A:A,0)),
 IFERROR(INDEX('HDC 테스트'!D:D,MATCH(TRIM(CLEAN(C4)),'HDC 테스트'!A:A,0)),"")))))</f>
        <v>1. 데이터 전송 성공
2. 데이터 전송 실패시 에러메세지 확인( DR(Server)와 끊어짐 상태 표시 또는 전송실패 표시 )
3. 실패 이후 재전송 성공</v>
      </c>
      <c r="F4" s="33" t="s">
        <v>355</v>
      </c>
      <c r="G4" s="33" t="s">
        <v>356</v>
      </c>
      <c r="H4" s="34"/>
    </row>
    <row r="5" spans="1:8" s="37" customFormat="1" ht="51">
      <c r="A5" s="36" t="s">
        <v>436</v>
      </c>
      <c r="B5" s="31">
        <v>46148</v>
      </c>
      <c r="C5" s="35" t="s">
        <v>438</v>
      </c>
      <c r="D5" s="33" t="str">
        <f>IFERROR(INDEX('HRK 테스트'!B:B,MATCH(TRIM(CLEAN(C5)),'HRK 테스트'!A:A,0)),
 IFERROR(INDEX('HLM 테스트'!B:B,MATCH(TRIM(CLEAN(C5)),'HLM 테스트'!A:A,0)),
 IFERROR(INDEX('HTR 테스트'!B:B,MATCH(TRIM(CLEAN(C5)),'HTR 테스트'!A:A,0)),
 IFERROR(INDEX('HDR 테스트'!B:B,MATCH(TRIM(CLEAN(C5)),'HDR 테스트'!A:A,0)),
 IFERROR(INDEX('HDC 테스트'!B:B,MATCH(TRIM(CLEAN(C5)),'HDC 테스트'!A:A,0)),"")))))</f>
        <v>AP 연결 및 인증 확인</v>
      </c>
      <c r="E5" s="36" t="str">
        <f>IFERROR(INDEX('HRK 테스트'!D:D,MATCH(TRIM(CLEAN(C5)),'HRK 테스트'!A:A,0)),
 IFERROR(INDEX('HLM 테스트'!D:D,MATCH(TRIM(CLEAN(C5)),'HLM 테스트'!A:A,0)),
 IFERROR(INDEX('HTR 테스트'!D:D,MATCH(TRIM(CLEAN(C5)),'HTR 테스트'!A:A,0)),
 IFERROR(INDEX('HDR 테스트'!D:D,MATCH(TRIM(CLEAN(C5)),'HDR 테스트'!A:A,0)),
 IFERROR(INDEX('HDC 테스트'!D:D,MATCH(TRIM(CLEAN(C5)),'HDC 테스트'!A:A,0)),"")))))</f>
        <v>1. 연결 가능한 AP 목록 (SSID/RSSI 순서)
2. AP 연결 성공
3. AP 인증 성공</v>
      </c>
      <c r="F5" s="36" t="str">
        <f>SUBSTITUTE(SUBSTITUTE(IFERROR(INDEX('HRK 테스트'!D:D,MATCH(TRIM(CLEAN(C5)),'HRK 테스트'!A:A,0)),
 IFERROR(INDEX('HLM 테스트'!D:D,MATCH(TRIM(CLEAN(C5)),'HLM 테스트'!A:A,0)),
 IFERROR(INDEX('HTR 테스트'!D:D,MATCH(TRIM(CLEAN(C5)),'HTR 테스트'!A:A,0)),
 IFERROR(INDEX('HDR 테스트'!D:D,MATCH(TRIM(CLEAN(C5)),'HDR 테스트'!A:A,0)),
 IFERROR(INDEX('HDC 테스트'!D:D,MATCH(TRIM(CLEAN(C5)),'HDC 테스트'!A:A,0)),""))))),CHAR(13)&amp;CHAR(10),CHAR(10)),CHAR(13),CHAR(10))</f>
        <v>1. 연결 가능한 AP 목록 (SSID/RSSI 순서)
2. AP 연결 성공
3. AP 인증 성공</v>
      </c>
      <c r="G5" s="36"/>
      <c r="H5" s="36"/>
    </row>
    <row r="6" spans="1:8" s="37" customFormat="1">
      <c r="A6" s="36" t="s">
        <v>541</v>
      </c>
      <c r="C6" s="35" t="s">
        <v>603</v>
      </c>
      <c r="F6" s="36">
        <f>IFERROR(INDEX('Test Cases (2)'!K:K,MATCH(TRIM(CLEAN(C6)),'Test Cases (2)'!A:A,0)),"")</f>
        <v>0</v>
      </c>
    </row>
    <row r="7" spans="1:8" s="37" customFormat="1">
      <c r="A7" s="36" t="s">
        <v>541</v>
      </c>
      <c r="C7" s="35" t="s">
        <v>35</v>
      </c>
      <c r="F7" s="36">
        <f>IFERROR(INDEX('Test Cases (2)'!K:K,MATCH(TRIM(CLEAN(C7)),'Test Cases (2)'!A:A,0)),"")</f>
        <v>0</v>
      </c>
    </row>
    <row r="8" spans="1:8" s="37" customFormat="1">
      <c r="A8" s="36" t="s">
        <v>541</v>
      </c>
      <c r="C8" s="35" t="s">
        <v>50</v>
      </c>
      <c r="F8" s="36">
        <f>IFERROR(INDEX('Test Cases (2)'!K:K,MATCH(TRIM(CLEAN(C8)),'Test Cases (2)'!A:A,0)),"")</f>
        <v>0</v>
      </c>
    </row>
    <row r="9" spans="1:8" s="37" customFormat="1">
      <c r="A9" s="36" t="s">
        <v>541</v>
      </c>
      <c r="C9" s="35" t="s">
        <v>56</v>
      </c>
      <c r="F9" s="36">
        <f>IFERROR(INDEX('Test Cases (2)'!K:K,MATCH(TRIM(CLEAN(C9)),'Test Cases (2)'!A:A,0)),"")</f>
        <v>0</v>
      </c>
    </row>
    <row r="10" spans="1:8" s="37" customFormat="1">
      <c r="A10" s="36" t="s">
        <v>541</v>
      </c>
      <c r="C10" s="35" t="s">
        <v>66</v>
      </c>
      <c r="F10" s="36">
        <f>IFERROR(INDEX('Test Cases (2)'!K:K,MATCH(TRIM(CLEAN(C10)),'Test Cases (2)'!A:A,0)),"")</f>
        <v>0</v>
      </c>
    </row>
    <row r="11" spans="1:8" s="37" customFormat="1">
      <c r="A11" s="36" t="s">
        <v>541</v>
      </c>
      <c r="C11" s="35" t="s">
        <v>72</v>
      </c>
      <c r="F11" s="36">
        <f>IFERROR(INDEX('Test Cases (2)'!K:K,MATCH(TRIM(CLEAN(C11)),'Test Cases (2)'!A:A,0)),"")</f>
        <v>0</v>
      </c>
    </row>
    <row r="12" spans="1:8" s="37" customFormat="1">
      <c r="A12" s="36" t="s">
        <v>541</v>
      </c>
      <c r="C12" s="35" t="s">
        <v>78</v>
      </c>
      <c r="F12" s="36">
        <f>IFERROR(INDEX('Test Cases (2)'!K:K,MATCH(TRIM(CLEAN(C12)),'Test Cases (2)'!A:A,0)),"")</f>
        <v>0</v>
      </c>
    </row>
    <row r="13" spans="1:8" s="37" customFormat="1">
      <c r="A13" s="36" t="s">
        <v>541</v>
      </c>
      <c r="C13" s="35" t="s">
        <v>85</v>
      </c>
      <c r="F13" s="36">
        <f>IFERROR(INDEX('Test Cases (2)'!K:K,MATCH(TRIM(CLEAN(C13)),'Test Cases (2)'!A:A,0)),"")</f>
        <v>0</v>
      </c>
    </row>
    <row r="14" spans="1:8" s="37" customFormat="1" ht="51.5" customHeight="1">
      <c r="A14" s="36" t="s">
        <v>541</v>
      </c>
      <c r="C14" s="35" t="s">
        <v>94</v>
      </c>
      <c r="F14" s="36" t="str">
        <f>IFERROR(INDEX('Test Cases (2)'!K:K,MATCH(TRIM(CLEAN(C14)),'Test Cases (2)'!A:A,0)),"")</f>
        <v>-. HRK-9000A CCD 타입은 AP끊었을 시, 아이콘 갱신이 다소 오래걸림(Ver26)
-. AP 재부팅 시, HDR에서 HRK와 자동 연결이 안되고, HRK에서 재시도를 하면 연결됨</v>
      </c>
    </row>
    <row r="15" spans="1:8" s="37" customFormat="1">
      <c r="A15" s="36" t="s">
        <v>541</v>
      </c>
      <c r="C15" s="35" t="s">
        <v>116</v>
      </c>
      <c r="F15" s="36">
        <f>IFERROR(INDEX('Test Cases (2)'!K:K,MATCH(TRIM(CLEAN(C15)),'Test Cases (2)'!A:A,0)),"")</f>
        <v>0</v>
      </c>
    </row>
    <row r="16" spans="1:8" s="37" customFormat="1">
      <c r="A16" s="36" t="s">
        <v>541</v>
      </c>
      <c r="C16" s="35" t="s">
        <v>540</v>
      </c>
      <c r="F16" s="36" t="str">
        <f>IFERROR(INDEX('Test Cases (2)'!K:K,MATCH(TRIM(CLEAN(C16)),'Test Cases (2)'!A:A,0)),"")</f>
        <v/>
      </c>
    </row>
    <row r="17" s="37" customFormat="1"/>
  </sheetData>
  <phoneticPr fontId="1" type="noConversion"/>
  <conditionalFormatting sqref="D5:D7">
    <cfRule type="containsText" dxfId="58" priority="3" operator="containsText" text="TBD">
      <formula>NOT(ISERROR(SEARCH("TBD",D5)))</formula>
    </cfRule>
  </conditionalFormatting>
  <conditionalFormatting sqref="D3">
    <cfRule type="containsText" dxfId="57" priority="1" operator="containsText" text="TBD">
      <formula>NOT(ISERROR(SEARCH("TBD",D3)))</formula>
    </cfRule>
  </conditionalFormatting>
  <conditionalFormatting sqref="D4">
    <cfRule type="containsText" dxfId="56" priority="2" operator="containsText" text="TBD">
      <formula>NOT(ISERROR(SEARCH("TBD",D4)))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8550-3AE1-44D2-9950-BE4DF426B1F9}">
  <dimension ref="A1:H95"/>
  <sheetViews>
    <sheetView topLeftCell="A10" zoomScale="73" workbookViewId="0">
      <selection activeCell="D49" sqref="D49"/>
    </sheetView>
  </sheetViews>
  <sheetFormatPr defaultColWidth="53.5" defaultRowHeight="17"/>
  <cols>
    <col min="1" max="1" width="38.25" style="37" customWidth="1"/>
    <col min="2" max="2" width="19.9140625" style="37" bestFit="1" customWidth="1"/>
    <col min="3" max="3" width="21.4140625" style="37" bestFit="1" customWidth="1"/>
    <col min="4" max="4" width="38.25" style="37" bestFit="1" customWidth="1"/>
    <col min="5" max="5" width="53.5" style="37"/>
    <col min="6" max="6" width="80.58203125" style="37" bestFit="1" customWidth="1"/>
    <col min="7" max="16384" width="53.5" style="37"/>
  </cols>
  <sheetData>
    <row r="1" spans="1:4">
      <c r="A1" s="20" t="s">
        <v>606</v>
      </c>
      <c r="B1" s="20" t="s">
        <v>484</v>
      </c>
      <c r="C1" s="20" t="s">
        <v>574</v>
      </c>
      <c r="D1" s="20" t="s">
        <v>584</v>
      </c>
    </row>
    <row r="2" spans="1:4">
      <c r="A2" s="25" t="s">
        <v>596</v>
      </c>
      <c r="B2" s="25" t="s">
        <v>595</v>
      </c>
    </row>
    <row r="3" spans="1:4">
      <c r="A3" s="25" t="s">
        <v>572</v>
      </c>
      <c r="B3" s="25"/>
    </row>
    <row r="4" spans="1:4">
      <c r="A4" s="25" t="s">
        <v>572</v>
      </c>
      <c r="B4" s="25"/>
    </row>
    <row r="5" spans="1:4">
      <c r="A5" s="25" t="s">
        <v>572</v>
      </c>
      <c r="B5" s="25"/>
    </row>
    <row r="6" spans="1:4">
      <c r="A6" s="25" t="s">
        <v>572</v>
      </c>
      <c r="B6" s="25"/>
    </row>
    <row r="7" spans="1:4">
      <c r="A7" s="25" t="s">
        <v>572</v>
      </c>
      <c r="B7" s="25"/>
    </row>
    <row r="8" spans="1:4">
      <c r="A8" s="25" t="s">
        <v>572</v>
      </c>
      <c r="B8" s="25"/>
    </row>
    <row r="9" spans="1:4">
      <c r="A9" s="25" t="s">
        <v>572</v>
      </c>
      <c r="B9" s="25"/>
    </row>
    <row r="10" spans="1:4">
      <c r="A10" s="25" t="s">
        <v>572</v>
      </c>
      <c r="B10" s="25"/>
    </row>
    <row r="11" spans="1:4">
      <c r="A11" s="25" t="s">
        <v>572</v>
      </c>
      <c r="B11" s="25"/>
    </row>
    <row r="12" spans="1:4">
      <c r="A12" s="25" t="s">
        <v>572</v>
      </c>
      <c r="B12" s="25"/>
    </row>
    <row r="13" spans="1:4">
      <c r="A13" s="25" t="s">
        <v>572</v>
      </c>
      <c r="B13" s="25"/>
    </row>
    <row r="14" spans="1:4">
      <c r="A14" s="25" t="s">
        <v>572</v>
      </c>
      <c r="B14" s="25"/>
    </row>
    <row r="15" spans="1:4">
      <c r="A15" s="25" t="s">
        <v>572</v>
      </c>
      <c r="B15" s="25"/>
    </row>
    <row r="16" spans="1:4">
      <c r="A16" s="25" t="s">
        <v>572</v>
      </c>
      <c r="B16" s="25"/>
    </row>
    <row r="17" spans="1:2">
      <c r="A17" s="25" t="s">
        <v>572</v>
      </c>
      <c r="B17" s="25"/>
    </row>
    <row r="18" spans="1:2">
      <c r="A18" s="25" t="s">
        <v>572</v>
      </c>
      <c r="B18" s="25"/>
    </row>
    <row r="19" spans="1:2">
      <c r="A19" s="25" t="s">
        <v>572</v>
      </c>
      <c r="B19" s="25"/>
    </row>
    <row r="20" spans="1:2">
      <c r="A20" s="25" t="s">
        <v>572</v>
      </c>
      <c r="B20" s="25"/>
    </row>
    <row r="21" spans="1:2">
      <c r="A21" s="25" t="s">
        <v>572</v>
      </c>
      <c r="B21" s="25"/>
    </row>
    <row r="26" spans="1:2">
      <c r="A26" s="20" t="s">
        <v>609</v>
      </c>
      <c r="B26" s="20" t="s">
        <v>544</v>
      </c>
    </row>
    <row r="27" spans="1:2">
      <c r="A27" s="37" t="str">
        <f>CONCATENATE("TTRID-", B27)</f>
        <v>TTRID-HRK-9000A</v>
      </c>
      <c r="B27" s="26" t="s">
        <v>0</v>
      </c>
    </row>
    <row r="28" spans="1:2">
      <c r="A28" s="37" t="str">
        <f t="shared" ref="A28:A33" si="0">CONCATENATE("TTRID-", B28)</f>
        <v>TTRID-HLM-9000</v>
      </c>
      <c r="B28" s="26" t="s">
        <v>3</v>
      </c>
    </row>
    <row r="29" spans="1:2">
      <c r="A29" s="37" t="str">
        <f t="shared" si="0"/>
        <v>TTRID-HTR 상세모델명(TBD)</v>
      </c>
      <c r="B29" s="26" t="s">
        <v>472</v>
      </c>
    </row>
    <row r="30" spans="1:2">
      <c r="A30" s="37" t="str">
        <f t="shared" si="0"/>
        <v>TTRID-HDR-9000_OP</v>
      </c>
      <c r="B30" s="26" t="s">
        <v>4</v>
      </c>
    </row>
    <row r="31" spans="1:2">
      <c r="A31" s="37" t="str">
        <f t="shared" si="0"/>
        <v>TTRID-HDR-9000_JUNCTION_BOX</v>
      </c>
      <c r="B31" s="26" t="s">
        <v>5</v>
      </c>
    </row>
    <row r="32" spans="1:2">
      <c r="A32" s="37" t="str">
        <f t="shared" si="0"/>
        <v>TTRID-HDR-9000_?</v>
      </c>
      <c r="B32" s="26" t="s">
        <v>6</v>
      </c>
    </row>
    <row r="33" spans="1:3">
      <c r="A33" s="37" t="str">
        <f t="shared" si="0"/>
        <v>TTRID-HDC-9100</v>
      </c>
      <c r="B33" s="28" t="s">
        <v>360</v>
      </c>
    </row>
    <row r="40" spans="1:3">
      <c r="A40" s="20" t="s">
        <v>608</v>
      </c>
      <c r="B40" s="20" t="s">
        <v>544</v>
      </c>
      <c r="C40" s="20" t="s">
        <v>571</v>
      </c>
    </row>
    <row r="41" spans="1:3">
      <c r="A41" s="26" t="s">
        <v>610</v>
      </c>
      <c r="B41" s="26" t="s">
        <v>619</v>
      </c>
      <c r="C41" s="26" t="s">
        <v>1</v>
      </c>
    </row>
    <row r="42" spans="1:3">
      <c r="A42" s="26" t="s">
        <v>611</v>
      </c>
      <c r="B42" s="26" t="s">
        <v>620</v>
      </c>
      <c r="C42" s="26" t="s">
        <v>2</v>
      </c>
    </row>
    <row r="43" spans="1:3">
      <c r="A43" s="26" t="s">
        <v>612</v>
      </c>
      <c r="B43" s="26" t="s">
        <v>621</v>
      </c>
      <c r="C43" s="26" t="s">
        <v>8</v>
      </c>
    </row>
    <row r="44" spans="1:3">
      <c r="A44" s="26" t="s">
        <v>613</v>
      </c>
      <c r="B44" s="26" t="s">
        <v>622</v>
      </c>
      <c r="C44" s="26" t="s">
        <v>8</v>
      </c>
    </row>
    <row r="45" spans="1:3">
      <c r="A45" s="26" t="s">
        <v>614</v>
      </c>
      <c r="B45" s="26" t="s">
        <v>623</v>
      </c>
      <c r="C45" s="26" t="s">
        <v>8</v>
      </c>
    </row>
    <row r="46" spans="1:3">
      <c r="A46" s="26" t="s">
        <v>615</v>
      </c>
      <c r="B46" s="26" t="s">
        <v>624</v>
      </c>
      <c r="C46" s="26" t="s">
        <v>8</v>
      </c>
    </row>
    <row r="47" spans="1:3">
      <c r="A47" s="28" t="s">
        <v>616</v>
      </c>
      <c r="B47" s="28" t="s">
        <v>625</v>
      </c>
      <c r="C47" s="26" t="s">
        <v>361</v>
      </c>
    </row>
    <row r="54" spans="1:3">
      <c r="A54" s="20" t="s">
        <v>617</v>
      </c>
      <c r="B54" s="20" t="s">
        <v>544</v>
      </c>
      <c r="C54" s="20" t="s">
        <v>571</v>
      </c>
    </row>
    <row r="55" spans="1:3">
      <c r="A55" s="25"/>
      <c r="B55" s="28" t="s">
        <v>403</v>
      </c>
      <c r="C55" s="29" t="s">
        <v>401</v>
      </c>
    </row>
    <row r="56" spans="1:3">
      <c r="A56" s="25"/>
      <c r="B56" s="28" t="s">
        <v>403</v>
      </c>
      <c r="C56" s="12" t="s">
        <v>364</v>
      </c>
    </row>
    <row r="57" spans="1:3">
      <c r="A57" s="25"/>
      <c r="B57" s="28" t="s">
        <v>403</v>
      </c>
      <c r="C57" s="12" t="s">
        <v>398</v>
      </c>
    </row>
    <row r="58" spans="1:3" ht="34">
      <c r="A58" s="25"/>
      <c r="B58" s="28" t="s">
        <v>403</v>
      </c>
      <c r="C58" s="12" t="s">
        <v>363</v>
      </c>
    </row>
    <row r="59" spans="1:3" ht="34">
      <c r="A59" s="25"/>
      <c r="B59" s="28" t="s">
        <v>403</v>
      </c>
      <c r="C59" s="12" t="s">
        <v>366</v>
      </c>
    </row>
    <row r="60" spans="1:3">
      <c r="A60" s="25"/>
      <c r="B60" s="28" t="s">
        <v>403</v>
      </c>
      <c r="C60" s="12" t="s">
        <v>365</v>
      </c>
    </row>
    <row r="61" spans="1:3">
      <c r="A61" s="25"/>
      <c r="B61" s="28" t="s">
        <v>409</v>
      </c>
      <c r="C61" s="26"/>
    </row>
    <row r="62" spans="1:3">
      <c r="A62" s="25"/>
      <c r="B62" s="28" t="s">
        <v>410</v>
      </c>
      <c r="C62" s="26"/>
    </row>
    <row r="63" spans="1:3">
      <c r="A63" s="25"/>
      <c r="B63" s="28" t="s">
        <v>411</v>
      </c>
      <c r="C63" s="26"/>
    </row>
    <row r="64" spans="1:3">
      <c r="A64" s="25"/>
      <c r="B64" s="26" t="s">
        <v>412</v>
      </c>
      <c r="C64" s="26"/>
    </row>
    <row r="65" spans="1:8">
      <c r="A65" s="25"/>
      <c r="B65" s="26" t="s">
        <v>413</v>
      </c>
      <c r="C65" s="26"/>
    </row>
    <row r="66" spans="1:8">
      <c r="A66" s="25"/>
      <c r="B66" s="26" t="s">
        <v>414</v>
      </c>
      <c r="C66" s="26"/>
    </row>
    <row r="67" spans="1:8">
      <c r="A67" s="25"/>
      <c r="B67" s="26" t="s">
        <v>415</v>
      </c>
      <c r="C67" s="26"/>
    </row>
    <row r="69" spans="1:8">
      <c r="A69" s="20" t="s">
        <v>607</v>
      </c>
    </row>
    <row r="75" spans="1:8">
      <c r="A75" s="20" t="s">
        <v>618</v>
      </c>
      <c r="B75" s="20" t="s">
        <v>568</v>
      </c>
      <c r="C75" s="20" t="s">
        <v>569</v>
      </c>
      <c r="D75" s="20" t="s">
        <v>570</v>
      </c>
    </row>
    <row r="76" spans="1:8">
      <c r="A76"/>
      <c r="B76"/>
    </row>
    <row r="77" spans="1:8">
      <c r="A77"/>
      <c r="B77"/>
    </row>
    <row r="78" spans="1:8">
      <c r="A78"/>
      <c r="B78"/>
    </row>
    <row r="79" spans="1:8">
      <c r="A79"/>
      <c r="B79"/>
    </row>
    <row r="80" spans="1:8">
      <c r="A80" s="30" t="s">
        <v>437</v>
      </c>
      <c r="B80" s="30" t="s">
        <v>344</v>
      </c>
      <c r="C80" s="30" t="s">
        <v>9</v>
      </c>
      <c r="D80" s="30" t="s">
        <v>11</v>
      </c>
      <c r="E80" s="30" t="s">
        <v>345</v>
      </c>
      <c r="F80" s="15" t="s">
        <v>346</v>
      </c>
      <c r="G80" s="15" t="s">
        <v>347</v>
      </c>
      <c r="H80" s="15" t="s">
        <v>348</v>
      </c>
    </row>
    <row r="81" spans="1:8">
      <c r="A81" s="36" t="s">
        <v>436</v>
      </c>
      <c r="B81" s="31">
        <v>46113</v>
      </c>
      <c r="C81" s="32" t="s">
        <v>35</v>
      </c>
      <c r="D81" s="32" t="s">
        <v>349</v>
      </c>
      <c r="E81" s="33" t="s">
        <v>350</v>
      </c>
      <c r="F81" s="33" t="s">
        <v>351</v>
      </c>
      <c r="G81" s="33" t="s">
        <v>352</v>
      </c>
      <c r="H81" s="34"/>
    </row>
    <row r="82" spans="1:8" ht="85">
      <c r="A82" s="36" t="s">
        <v>436</v>
      </c>
      <c r="B82" s="31">
        <v>46113</v>
      </c>
      <c r="C82" s="32" t="s">
        <v>94</v>
      </c>
      <c r="D82" s="33" t="str">
        <f>IFERROR(INDEX('HRK 테스트'!B:B,MATCH(TRIM(CLEAN(C82)),'HRK 테스트'!A:A,0)),
 IFERROR(INDEX('HLM 테스트'!B:B,MATCH(TRIM(CLEAN(C82)),'HLM 테스트'!A:A,0)),
 IFERROR(INDEX('HTR 테스트'!B:B,MATCH(TRIM(CLEAN(C82)),'HTR 테스트'!A:A,0)),
 IFERROR(INDEX('HDR 테스트'!B:B,MATCH(TRIM(CLEAN(C82)),'HDR 테스트'!A:A,0)),
 IFERROR(INDEX('HDC 테스트'!B:B,MATCH(TRIM(CLEAN(C82)),'HDC 테스트'!A:A,0)),"")))))</f>
        <v>Server 재연결 시 복구</v>
      </c>
      <c r="E82" s="36" t="str">
        <f>IFERROR(INDEX('HRK 테스트'!D:D,MATCH(TRIM(CLEAN(C82)),'HRK 테스트'!A:A,0)),
 IFERROR(INDEX('HLM 테스트'!D:D,MATCH(TRIM(CLEAN(C82)),'HLM 테스트'!A:A,0)),
 IFERROR(INDEX('HTR 테스트'!D:D,MATCH(TRIM(CLEAN(C82)),'HTR 테스트'!A:A,0)),
 IFERROR(INDEX('HDR 테스트'!D:D,MATCH(TRIM(CLEAN(C82)),'HDR 테스트'!A:A,0)),
 IFERROR(INDEX('HDC 테스트'!D:D,MATCH(TRIM(CLEAN(C82)),'HDC 테스트'!A:A,0)),"")))))</f>
        <v>1. Server 접속상태 표시
2. Server와의 접속상태를 갱신하고, 데이터 전송 성공
3. 데이터 전송 실패시 에러메세지 확인( DR(Server)와 끊어짐 상태 표시 또는 전송실패 표시 )
4. 실패 이후 재전송 성공</v>
      </c>
      <c r="F82" s="33" t="s">
        <v>353</v>
      </c>
      <c r="G82" s="33" t="s">
        <v>354</v>
      </c>
      <c r="H82" s="34"/>
    </row>
    <row r="83" spans="1:8" ht="68">
      <c r="A83" s="36" t="s">
        <v>436</v>
      </c>
      <c r="B83" s="31">
        <v>46113</v>
      </c>
      <c r="C83" s="32" t="s">
        <v>116</v>
      </c>
      <c r="D83" s="33" t="str">
        <f>IFERROR(INDEX('HRK 테스트'!B:B,MATCH(TRIM(CLEAN(C83)),'HRK 테스트'!A:A,0)),
 IFERROR(INDEX('HLM 테스트'!B:B,MATCH(TRIM(CLEAN(C83)),'HLM 테스트'!A:A,0)),
 IFERROR(INDEX('HTR 테스트'!B:B,MATCH(TRIM(CLEAN(C83)),'HTR 테스트'!A:A,0)),
 IFERROR(INDEX('HDR 테스트'!B:B,MATCH(TRIM(CLEAN(C83)),'HDR 테스트'!A:A,0)),
 IFERROR(INDEX('HDC 테스트'!B:B,MATCH(TRIM(CLEAN(C83)),'HDC 테스트'!A:A,0)),"")))))</f>
        <v>장비 재부팅 시 복구</v>
      </c>
      <c r="E83" s="36" t="str">
        <f>IFERROR(INDEX('HRK 테스트'!D:D,MATCH(TRIM(CLEAN(C83)),'HRK 테스트'!A:A,0)),
 IFERROR(INDEX('HLM 테스트'!D:D,MATCH(TRIM(CLEAN(C83)),'HLM 테스트'!A:A,0)),
 IFERROR(INDEX('HTR 테스트'!D:D,MATCH(TRIM(CLEAN(C83)),'HTR 테스트'!A:A,0)),
 IFERROR(INDEX('HDR 테스트'!D:D,MATCH(TRIM(CLEAN(C83)),'HDR 테스트'!A:A,0)),
 IFERROR(INDEX('HDC 테스트'!D:D,MATCH(TRIM(CLEAN(C83)),'HDC 테스트'!A:A,0)),"")))))</f>
        <v>1. 데이터 전송 성공
2. 데이터 전송 실패시 에러메세지 확인( DR(Server)와 끊어짐 상태 표시 또는 전송실패 표시 )
3. 실패 이후 재전송 성공</v>
      </c>
      <c r="F83" s="33" t="s">
        <v>355</v>
      </c>
      <c r="G83" s="33" t="s">
        <v>356</v>
      </c>
      <c r="H83" s="34"/>
    </row>
    <row r="84" spans="1:8" ht="51">
      <c r="A84" s="36" t="s">
        <v>436</v>
      </c>
      <c r="B84" s="31">
        <v>46148</v>
      </c>
      <c r="C84" s="35" t="s">
        <v>438</v>
      </c>
      <c r="D84" s="33" t="str">
        <f>IFERROR(INDEX('HRK 테스트'!B:B,MATCH(TRIM(CLEAN(C84)),'HRK 테스트'!A:A,0)),
 IFERROR(INDEX('HLM 테스트'!B:B,MATCH(TRIM(CLEAN(C84)),'HLM 테스트'!A:A,0)),
 IFERROR(INDEX('HTR 테스트'!B:B,MATCH(TRIM(CLEAN(C84)),'HTR 테스트'!A:A,0)),
 IFERROR(INDEX('HDR 테스트'!B:B,MATCH(TRIM(CLEAN(C84)),'HDR 테스트'!A:A,0)),
 IFERROR(INDEX('HDC 테스트'!B:B,MATCH(TRIM(CLEAN(C84)),'HDC 테스트'!A:A,0)),"")))))</f>
        <v>AP 연결 및 인증 확인</v>
      </c>
      <c r="E84" s="36" t="str">
        <f>IFERROR(INDEX('HRK 테스트'!D:D,MATCH(TRIM(CLEAN(C84)),'HRK 테스트'!A:A,0)),
 IFERROR(INDEX('HLM 테스트'!D:D,MATCH(TRIM(CLEAN(C84)),'HLM 테스트'!A:A,0)),
 IFERROR(INDEX('HTR 테스트'!D:D,MATCH(TRIM(CLEAN(C84)),'HTR 테스트'!A:A,0)),
 IFERROR(INDEX('HDR 테스트'!D:D,MATCH(TRIM(CLEAN(C84)),'HDR 테스트'!A:A,0)),
 IFERROR(INDEX('HDC 테스트'!D:D,MATCH(TRIM(CLEAN(C84)),'HDC 테스트'!A:A,0)),"")))))</f>
        <v>1. 연결 가능한 AP 목록 (SSID/RSSI 순서)
2. AP 연결 성공
3. AP 인증 성공</v>
      </c>
      <c r="F84" s="36" t="str">
        <f>SUBSTITUTE(SUBSTITUTE(IFERROR(INDEX('HRK 테스트'!D:D,MATCH(TRIM(CLEAN(C84)),'HRK 테스트'!A:A,0)),
 IFERROR(INDEX('HLM 테스트'!D:D,MATCH(TRIM(CLEAN(C84)),'HLM 테스트'!A:A,0)),
 IFERROR(INDEX('HTR 테스트'!D:D,MATCH(TRIM(CLEAN(C84)),'HTR 테스트'!A:A,0)),
 IFERROR(INDEX('HDR 테스트'!D:D,MATCH(TRIM(CLEAN(C84)),'HDR 테스트'!A:A,0)),
 IFERROR(INDEX('HDC 테스트'!D:D,MATCH(TRIM(CLEAN(C84)),'HDC 테스트'!A:A,0)),""))))),CHAR(13)&amp;CHAR(10),CHAR(10)),CHAR(13),CHAR(10))</f>
        <v>1. 연결 가능한 AP 목록 (SSID/RSSI 순서)
2. AP 연결 성공
3. AP 인증 성공</v>
      </c>
      <c r="G84" s="36"/>
      <c r="H84" s="36"/>
    </row>
    <row r="85" spans="1:8">
      <c r="A85" s="36" t="s">
        <v>541</v>
      </c>
      <c r="C85" s="35" t="s">
        <v>603</v>
      </c>
      <c r="F85" s="36">
        <f>IFERROR(INDEX('Test Cases (2)'!K:K,MATCH(TRIM(CLEAN(C85)),'Test Cases (2)'!A:A,0)),"")</f>
        <v>0</v>
      </c>
    </row>
    <row r="86" spans="1:8">
      <c r="A86" s="36" t="s">
        <v>541</v>
      </c>
      <c r="C86" s="35" t="s">
        <v>35</v>
      </c>
      <c r="F86" s="36">
        <f>IFERROR(INDEX('Test Cases (2)'!K:K,MATCH(TRIM(CLEAN(C86)),'Test Cases (2)'!A:A,0)),"")</f>
        <v>0</v>
      </c>
    </row>
    <row r="87" spans="1:8">
      <c r="A87" s="36" t="s">
        <v>541</v>
      </c>
      <c r="C87" s="35" t="s">
        <v>50</v>
      </c>
      <c r="F87" s="36">
        <f>IFERROR(INDEX('Test Cases (2)'!K:K,MATCH(TRIM(CLEAN(C87)),'Test Cases (2)'!A:A,0)),"")</f>
        <v>0</v>
      </c>
    </row>
    <row r="88" spans="1:8">
      <c r="A88" s="36" t="s">
        <v>541</v>
      </c>
      <c r="C88" s="35" t="s">
        <v>56</v>
      </c>
      <c r="F88" s="36">
        <f>IFERROR(INDEX('Test Cases (2)'!K:K,MATCH(TRIM(CLEAN(C88)),'Test Cases (2)'!A:A,0)),"")</f>
        <v>0</v>
      </c>
    </row>
    <row r="89" spans="1:8">
      <c r="A89" s="36" t="s">
        <v>541</v>
      </c>
      <c r="C89" s="35" t="s">
        <v>66</v>
      </c>
      <c r="F89" s="36">
        <f>IFERROR(INDEX('Test Cases (2)'!K:K,MATCH(TRIM(CLEAN(C89)),'Test Cases (2)'!A:A,0)),"")</f>
        <v>0</v>
      </c>
    </row>
    <row r="90" spans="1:8">
      <c r="A90" s="36" t="s">
        <v>541</v>
      </c>
      <c r="C90" s="35" t="s">
        <v>72</v>
      </c>
      <c r="F90" s="36">
        <f>IFERROR(INDEX('Test Cases (2)'!K:K,MATCH(TRIM(CLEAN(C90)),'Test Cases (2)'!A:A,0)),"")</f>
        <v>0</v>
      </c>
    </row>
    <row r="91" spans="1:8">
      <c r="A91" s="36" t="s">
        <v>541</v>
      </c>
      <c r="C91" s="35" t="s">
        <v>78</v>
      </c>
      <c r="F91" s="36">
        <f>IFERROR(INDEX('Test Cases (2)'!K:K,MATCH(TRIM(CLEAN(C91)),'Test Cases (2)'!A:A,0)),"")</f>
        <v>0</v>
      </c>
    </row>
    <row r="92" spans="1:8">
      <c r="A92" s="36" t="s">
        <v>541</v>
      </c>
      <c r="C92" s="35" t="s">
        <v>85</v>
      </c>
      <c r="F92" s="36">
        <f>IFERROR(INDEX('Test Cases (2)'!K:K,MATCH(TRIM(CLEAN(C92)),'Test Cases (2)'!A:A,0)),"")</f>
        <v>0</v>
      </c>
    </row>
    <row r="93" spans="1:8" ht="34">
      <c r="A93" s="36" t="s">
        <v>541</v>
      </c>
      <c r="C93" s="35" t="s">
        <v>94</v>
      </c>
      <c r="F93" s="36" t="str">
        <f>IFERROR(INDEX('Test Cases (2)'!K:K,MATCH(TRIM(CLEAN(C93)),'Test Cases (2)'!A:A,0)),"")</f>
        <v>-. HRK-9000A CCD 타입은 AP끊었을 시, 아이콘 갱신이 다소 오래걸림(Ver26)
-. AP 재부팅 시, HDR에서 HRK와 자동 연결이 안되고, HRK에서 재시도를 하면 연결됨</v>
      </c>
    </row>
    <row r="94" spans="1:8">
      <c r="A94" s="36" t="s">
        <v>541</v>
      </c>
      <c r="C94" s="35" t="s">
        <v>116</v>
      </c>
      <c r="F94" s="36">
        <f>IFERROR(INDEX('Test Cases (2)'!K:K,MATCH(TRIM(CLEAN(C94)),'Test Cases (2)'!A:A,0)),"")</f>
        <v>0</v>
      </c>
    </row>
    <row r="95" spans="1:8">
      <c r="A95" s="36" t="s">
        <v>541</v>
      </c>
      <c r="C95" s="35" t="s">
        <v>540</v>
      </c>
      <c r="F95" s="36" t="str">
        <f>IFERROR(INDEX('Test Cases (2)'!K:K,MATCH(TRIM(CLEAN(C95)),'Test Cases (2)'!A:A,0)),"")</f>
        <v/>
      </c>
    </row>
  </sheetData>
  <phoneticPr fontId="1" type="noConversion"/>
  <conditionalFormatting sqref="B1:B21 A55:C67 A40:C47">
    <cfRule type="containsText" dxfId="55" priority="17" operator="containsText" text="TBD">
      <formula>NOT(ISERROR(SEARCH("TBD",A1)))</formula>
    </cfRule>
  </conditionalFormatting>
  <conditionalFormatting sqref="A1:A21">
    <cfRule type="containsText" dxfId="54" priority="16" operator="containsText" text="TBD">
      <formula>NOT(ISERROR(SEARCH("TBD",A1)))</formula>
    </cfRule>
  </conditionalFormatting>
  <conditionalFormatting sqref="C1">
    <cfRule type="containsText" dxfId="53" priority="14" operator="containsText" text="TBD">
      <formula>NOT(ISERROR(SEARCH("TBD",C1)))</formula>
    </cfRule>
  </conditionalFormatting>
  <conditionalFormatting sqref="B75">
    <cfRule type="containsText" dxfId="52" priority="13" operator="containsText" text="TBD">
      <formula>NOT(ISERROR(SEARCH("TBD",B75)))</formula>
    </cfRule>
  </conditionalFormatting>
  <conditionalFormatting sqref="C75">
    <cfRule type="containsText" dxfId="51" priority="12" operator="containsText" text="TBD">
      <formula>NOT(ISERROR(SEARCH("TBD",C75)))</formula>
    </cfRule>
  </conditionalFormatting>
  <conditionalFormatting sqref="D75">
    <cfRule type="containsText" dxfId="50" priority="11" operator="containsText" text="TBD">
      <formula>NOT(ISERROR(SEARCH("TBD",D75)))</formula>
    </cfRule>
  </conditionalFormatting>
  <conditionalFormatting sqref="A75">
    <cfRule type="containsText" dxfId="49" priority="10" operator="containsText" text="TBD">
      <formula>NOT(ISERROR(SEARCH("TBD",A75)))</formula>
    </cfRule>
  </conditionalFormatting>
  <conditionalFormatting sqref="D1">
    <cfRule type="containsText" dxfId="48" priority="9" operator="containsText" text="TBD">
      <formula>NOT(ISERROR(SEARCH("TBD",D1)))</formula>
    </cfRule>
  </conditionalFormatting>
  <conditionalFormatting sqref="A69:A73">
    <cfRule type="containsText" dxfId="47" priority="8" operator="containsText" text="TBD">
      <formula>NOT(ISERROR(SEARCH("TBD",A69)))</formula>
    </cfRule>
  </conditionalFormatting>
  <conditionalFormatting sqref="A26:B26">
    <cfRule type="containsText" dxfId="46" priority="6" operator="containsText" text="TBD">
      <formula>NOT(ISERROR(SEARCH("TBD",A26)))</formula>
    </cfRule>
  </conditionalFormatting>
  <conditionalFormatting sqref="B27:B33">
    <cfRule type="containsText" dxfId="45" priority="5" operator="containsText" text="TBD">
      <formula>NOT(ISERROR(SEARCH("TBD",B27)))</formula>
    </cfRule>
  </conditionalFormatting>
  <conditionalFormatting sqref="A54:C54">
    <cfRule type="containsText" dxfId="44" priority="4" operator="containsText" text="TBD">
      <formula>NOT(ISERROR(SEARCH("TBD",A54)))</formula>
    </cfRule>
  </conditionalFormatting>
  <conditionalFormatting sqref="D84:D86">
    <cfRule type="containsText" dxfId="43" priority="3" operator="containsText" text="TBD">
      <formula>NOT(ISERROR(SEARCH("TBD",D84)))</formula>
    </cfRule>
  </conditionalFormatting>
  <conditionalFormatting sqref="D82">
    <cfRule type="containsText" dxfId="42" priority="1" operator="containsText" text="TBD">
      <formula>NOT(ISERROR(SEARCH("TBD",D82)))</formula>
    </cfRule>
  </conditionalFormatting>
  <conditionalFormatting sqref="D83">
    <cfRule type="containsText" dxfId="41" priority="2" operator="containsText" text="TBD">
      <formula>NOT(ISERROR(SEARCH("TBD",D83)))</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19C4-5BF9-43B5-B5B3-40D609048DBA}">
  <dimension ref="A1:B21"/>
  <sheetViews>
    <sheetView workbookViewId="0">
      <selection activeCell="B31" sqref="B31"/>
    </sheetView>
  </sheetViews>
  <sheetFormatPr defaultRowHeight="17"/>
  <cols>
    <col min="1" max="2" width="35" bestFit="1" customWidth="1"/>
  </cols>
  <sheetData>
    <row r="1" spans="1:2">
      <c r="A1" s="20" t="s">
        <v>605</v>
      </c>
      <c r="B1" s="20" t="s">
        <v>606</v>
      </c>
    </row>
    <row r="2" spans="1:2">
      <c r="A2" s="25" t="s">
        <v>596</v>
      </c>
      <c r="B2" s="25" t="s">
        <v>596</v>
      </c>
    </row>
    <row r="3" spans="1:2">
      <c r="A3" s="25" t="s">
        <v>572</v>
      </c>
      <c r="B3" s="25" t="s">
        <v>572</v>
      </c>
    </row>
    <row r="4" spans="1:2">
      <c r="A4" s="25" t="s">
        <v>572</v>
      </c>
      <c r="B4" s="25" t="s">
        <v>572</v>
      </c>
    </row>
    <row r="5" spans="1:2">
      <c r="A5" s="25" t="s">
        <v>572</v>
      </c>
      <c r="B5" s="25" t="s">
        <v>572</v>
      </c>
    </row>
    <row r="6" spans="1:2">
      <c r="A6" s="25" t="s">
        <v>572</v>
      </c>
      <c r="B6" s="25" t="s">
        <v>572</v>
      </c>
    </row>
    <row r="7" spans="1:2">
      <c r="A7" s="25" t="s">
        <v>572</v>
      </c>
      <c r="B7" s="25" t="s">
        <v>572</v>
      </c>
    </row>
    <row r="8" spans="1:2">
      <c r="A8" s="25" t="s">
        <v>572</v>
      </c>
      <c r="B8" s="25" t="s">
        <v>572</v>
      </c>
    </row>
    <row r="9" spans="1:2">
      <c r="A9" s="25" t="s">
        <v>572</v>
      </c>
      <c r="B9" s="25" t="s">
        <v>572</v>
      </c>
    </row>
    <row r="10" spans="1:2">
      <c r="A10" s="25" t="s">
        <v>572</v>
      </c>
      <c r="B10" s="25" t="s">
        <v>572</v>
      </c>
    </row>
    <row r="11" spans="1:2">
      <c r="A11" s="25" t="s">
        <v>572</v>
      </c>
      <c r="B11" s="25" t="s">
        <v>572</v>
      </c>
    </row>
    <row r="12" spans="1:2">
      <c r="A12" s="25" t="s">
        <v>572</v>
      </c>
      <c r="B12" s="25" t="s">
        <v>572</v>
      </c>
    </row>
    <row r="13" spans="1:2">
      <c r="A13" s="25" t="s">
        <v>572</v>
      </c>
      <c r="B13" s="25" t="s">
        <v>572</v>
      </c>
    </row>
    <row r="14" spans="1:2">
      <c r="A14" s="25" t="s">
        <v>572</v>
      </c>
      <c r="B14" s="25" t="s">
        <v>572</v>
      </c>
    </row>
    <row r="15" spans="1:2">
      <c r="A15" s="25" t="s">
        <v>572</v>
      </c>
      <c r="B15" s="25" t="s">
        <v>572</v>
      </c>
    </row>
    <row r="16" spans="1:2">
      <c r="A16" s="25" t="s">
        <v>572</v>
      </c>
      <c r="B16" s="25" t="s">
        <v>572</v>
      </c>
    </row>
    <row r="17" spans="1:2">
      <c r="A17" s="25" t="s">
        <v>572</v>
      </c>
      <c r="B17" s="25" t="s">
        <v>572</v>
      </c>
    </row>
    <row r="18" spans="1:2">
      <c r="A18" s="25" t="s">
        <v>572</v>
      </c>
      <c r="B18" s="25" t="s">
        <v>572</v>
      </c>
    </row>
    <row r="19" spans="1:2">
      <c r="A19" s="25" t="s">
        <v>572</v>
      </c>
      <c r="B19" s="25" t="s">
        <v>572</v>
      </c>
    </row>
    <row r="20" spans="1:2">
      <c r="A20" s="25" t="s">
        <v>572</v>
      </c>
      <c r="B20" s="25" t="s">
        <v>572</v>
      </c>
    </row>
    <row r="21" spans="1:2">
      <c r="A21" s="25" t="s">
        <v>572</v>
      </c>
      <c r="B21" s="25" t="s">
        <v>572</v>
      </c>
    </row>
  </sheetData>
  <phoneticPr fontId="1" type="noConversion"/>
  <conditionalFormatting sqref="A1:A21">
    <cfRule type="containsText" dxfId="40" priority="4" operator="containsText" text="TBD">
      <formula>NOT(ISERROR(SEARCH("TBD",A1)))</formula>
    </cfRule>
  </conditionalFormatting>
  <conditionalFormatting sqref="C1">
    <cfRule type="containsText" dxfId="39" priority="3" operator="containsText" text="TBD">
      <formula>NOT(ISERROR(SEARCH("TBD",C1)))</formula>
    </cfRule>
  </conditionalFormatting>
  <conditionalFormatting sqref="D1">
    <cfRule type="containsText" dxfId="38" priority="2" operator="containsText" text="TBD">
      <formula>NOT(ISERROR(SEARCH("TBD",D1)))</formula>
    </cfRule>
  </conditionalFormatting>
  <conditionalFormatting sqref="B1:B21">
    <cfRule type="containsText" dxfId="37" priority="1" operator="containsText" text="TBD">
      <formula>NOT(ISERROR(SEARCH("TBD",B1)))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17D39-A73C-41AC-90D0-2D049220EDB1}">
  <dimension ref="A1:N8"/>
  <sheetViews>
    <sheetView tabSelected="1" workbookViewId="0">
      <selection activeCell="D11" sqref="D11"/>
    </sheetView>
  </sheetViews>
  <sheetFormatPr defaultRowHeight="17"/>
  <cols>
    <col min="1" max="1" width="10.25" bestFit="1" customWidth="1"/>
    <col min="2" max="2" width="41.75" bestFit="1" customWidth="1"/>
    <col min="3" max="3" width="26.08203125" bestFit="1" customWidth="1"/>
    <col min="4" max="4" width="24.33203125" bestFit="1" customWidth="1"/>
    <col min="5" max="5" width="30.9140625" bestFit="1" customWidth="1"/>
    <col min="6" max="6" width="10" bestFit="1" customWidth="1"/>
    <col min="7" max="7" width="17.83203125" bestFit="1" customWidth="1"/>
    <col min="8" max="8" width="19.33203125" bestFit="1" customWidth="1"/>
    <col min="9" max="9" width="16.08203125" bestFit="1" customWidth="1"/>
    <col min="10" max="10" width="41.75" bestFit="1" customWidth="1"/>
    <col min="11" max="11" width="12.9140625" bestFit="1" customWidth="1"/>
    <col min="12" max="12" width="14.08203125" bestFit="1" customWidth="1"/>
    <col min="13" max="13" width="21.9140625" bestFit="1" customWidth="1"/>
    <col min="14" max="14" width="36.1640625" bestFit="1" customWidth="1"/>
  </cols>
  <sheetData>
    <row r="1" spans="1:14">
      <c r="A1" s="41" t="s">
        <v>402</v>
      </c>
      <c r="B1" s="41" t="s">
        <v>543</v>
      </c>
      <c r="C1" s="41" t="s">
        <v>544</v>
      </c>
      <c r="D1" s="41" t="s">
        <v>553</v>
      </c>
      <c r="E1" s="41" t="s">
        <v>534</v>
      </c>
      <c r="F1" s="41" t="s">
        <v>533</v>
      </c>
      <c r="G1" s="41" t="s">
        <v>532</v>
      </c>
      <c r="H1" s="41" t="s">
        <v>531</v>
      </c>
      <c r="I1" s="41" t="s">
        <v>530</v>
      </c>
      <c r="J1" s="41" t="s">
        <v>529</v>
      </c>
      <c r="K1" s="41" t="s">
        <v>528</v>
      </c>
      <c r="L1" s="41" t="s">
        <v>527</v>
      </c>
      <c r="M1" s="41" t="s">
        <v>526</v>
      </c>
      <c r="N1" s="41" t="s">
        <v>14</v>
      </c>
    </row>
    <row r="2" spans="1:14">
      <c r="A2" s="38" t="s">
        <v>525</v>
      </c>
      <c r="B2" s="38" t="s">
        <v>524</v>
      </c>
      <c r="C2" s="38" t="s">
        <v>523</v>
      </c>
      <c r="D2" s="38" t="s">
        <v>522</v>
      </c>
      <c r="E2" s="38" t="s">
        <v>491</v>
      </c>
      <c r="F2" s="38" t="s">
        <v>499</v>
      </c>
      <c r="G2" s="38" t="s">
        <v>521</v>
      </c>
      <c r="H2" s="38" t="s">
        <v>521</v>
      </c>
      <c r="I2" s="38">
        <v>11708421</v>
      </c>
      <c r="J2" s="38" t="s">
        <v>563</v>
      </c>
      <c r="K2" s="39">
        <v>46148</v>
      </c>
      <c r="L2" s="38" t="s">
        <v>564</v>
      </c>
      <c r="M2" s="38" t="s">
        <v>564</v>
      </c>
      <c r="N2" s="38" t="s">
        <v>520</v>
      </c>
    </row>
    <row r="3" spans="1:14">
      <c r="A3" s="38" t="s">
        <v>513</v>
      </c>
      <c r="B3" s="38" t="s">
        <v>519</v>
      </c>
      <c r="C3" s="38" t="s">
        <v>518</v>
      </c>
      <c r="D3" s="38" t="s">
        <v>517</v>
      </c>
      <c r="E3" s="38" t="s">
        <v>491</v>
      </c>
      <c r="F3" s="38" t="s">
        <v>516</v>
      </c>
      <c r="G3" s="38" t="s">
        <v>515</v>
      </c>
      <c r="H3" s="38" t="s">
        <v>515</v>
      </c>
      <c r="I3" s="38" t="s">
        <v>514</v>
      </c>
      <c r="J3" s="38" t="s">
        <v>563</v>
      </c>
      <c r="K3" s="39">
        <v>46148</v>
      </c>
      <c r="L3" s="38" t="s">
        <v>564</v>
      </c>
      <c r="M3" s="38" t="s">
        <v>564</v>
      </c>
      <c r="N3" s="38"/>
    </row>
    <row r="4" spans="1:14">
      <c r="A4" s="38" t="s">
        <v>513</v>
      </c>
      <c r="B4" s="38" t="s">
        <v>512</v>
      </c>
      <c r="C4" s="38" t="s">
        <v>511</v>
      </c>
      <c r="D4" s="38" t="s">
        <v>510</v>
      </c>
      <c r="E4" s="38" t="s">
        <v>491</v>
      </c>
      <c r="F4" s="38" t="s">
        <v>499</v>
      </c>
      <c r="G4" s="38" t="s">
        <v>509</v>
      </c>
      <c r="H4" s="38" t="s">
        <v>509</v>
      </c>
      <c r="I4" s="38" t="s">
        <v>508</v>
      </c>
      <c r="J4" s="38" t="s">
        <v>563</v>
      </c>
      <c r="K4" s="39">
        <v>46148</v>
      </c>
      <c r="L4" s="38" t="s">
        <v>564</v>
      </c>
      <c r="M4" s="38" t="s">
        <v>564</v>
      </c>
      <c r="N4" s="38"/>
    </row>
    <row r="5" spans="1:14">
      <c r="A5" s="38" t="s">
        <v>507</v>
      </c>
      <c r="B5" s="38" t="s">
        <v>506</v>
      </c>
      <c r="C5" s="38" t="s">
        <v>505</v>
      </c>
      <c r="D5" s="38" t="s">
        <v>504</v>
      </c>
      <c r="E5" s="38" t="s">
        <v>491</v>
      </c>
      <c r="F5" s="38" t="s">
        <v>490</v>
      </c>
      <c r="G5" s="38" t="s">
        <v>503</v>
      </c>
      <c r="H5" s="38" t="s">
        <v>503</v>
      </c>
      <c r="I5" s="38">
        <v>14796449</v>
      </c>
      <c r="J5" s="38" t="s">
        <v>563</v>
      </c>
      <c r="K5" s="39">
        <v>46148</v>
      </c>
      <c r="L5" s="38" t="s">
        <v>564</v>
      </c>
      <c r="M5" s="38" t="s">
        <v>564</v>
      </c>
      <c r="N5" s="38"/>
    </row>
    <row r="6" spans="1:14" ht="34">
      <c r="A6" s="38" t="s">
        <v>495</v>
      </c>
      <c r="B6" s="38" t="s">
        <v>502</v>
      </c>
      <c r="C6" s="38" t="s">
        <v>501</v>
      </c>
      <c r="D6" s="38" t="s">
        <v>500</v>
      </c>
      <c r="E6" s="38" t="s">
        <v>491</v>
      </c>
      <c r="F6" s="38" t="s">
        <v>499</v>
      </c>
      <c r="G6" s="38" t="s">
        <v>498</v>
      </c>
      <c r="H6" s="38" t="s">
        <v>497</v>
      </c>
      <c r="I6" s="38">
        <v>38042966</v>
      </c>
      <c r="J6" s="38" t="s">
        <v>563</v>
      </c>
      <c r="K6" s="39">
        <v>46148</v>
      </c>
      <c r="L6" s="38" t="s">
        <v>564</v>
      </c>
      <c r="M6" s="38" t="s">
        <v>564</v>
      </c>
      <c r="N6" s="40" t="s">
        <v>496</v>
      </c>
    </row>
    <row r="7" spans="1:14">
      <c r="A7" s="38" t="s">
        <v>495</v>
      </c>
      <c r="B7" s="38" t="s">
        <v>494</v>
      </c>
      <c r="C7" s="38" t="s">
        <v>493</v>
      </c>
      <c r="D7" s="38" t="s">
        <v>492</v>
      </c>
      <c r="E7" s="38" t="s">
        <v>491</v>
      </c>
      <c r="F7" s="38" t="s">
        <v>490</v>
      </c>
      <c r="G7" s="38" t="s">
        <v>489</v>
      </c>
      <c r="H7" s="38" t="s">
        <v>488</v>
      </c>
      <c r="I7" s="38">
        <v>24795388</v>
      </c>
      <c r="J7" s="38" t="s">
        <v>563</v>
      </c>
      <c r="K7" s="39">
        <v>46148</v>
      </c>
      <c r="L7" s="38" t="s">
        <v>564</v>
      </c>
      <c r="M7" s="38" t="s">
        <v>564</v>
      </c>
      <c r="N7" s="38"/>
    </row>
    <row r="8" spans="1:14">
      <c r="A8" s="26" t="s">
        <v>400</v>
      </c>
      <c r="B8" s="38" t="s">
        <v>627</v>
      </c>
      <c r="C8" s="28" t="s">
        <v>403</v>
      </c>
      <c r="D8" s="29" t="s">
        <v>401</v>
      </c>
      <c r="E8" s="38" t="s">
        <v>628</v>
      </c>
      <c r="F8" s="38" t="s">
        <v>630</v>
      </c>
      <c r="G8" s="38" t="s">
        <v>631</v>
      </c>
      <c r="H8" s="38" t="s">
        <v>632</v>
      </c>
      <c r="I8" s="62">
        <v>5939373</v>
      </c>
      <c r="J8" s="38" t="s">
        <v>629</v>
      </c>
      <c r="K8" s="62"/>
      <c r="L8" s="62" t="s">
        <v>566</v>
      </c>
      <c r="M8" s="62" t="s">
        <v>566</v>
      </c>
      <c r="N8" s="62" t="s">
        <v>566</v>
      </c>
    </row>
  </sheetData>
  <phoneticPr fontId="1" type="noConversion"/>
  <conditionalFormatting sqref="A8 C8:D8">
    <cfRule type="containsText" dxfId="36" priority="1" operator="containsText" text="TBD">
      <formula>NOT(ISERROR(SEARCH("TBD",A8)))</formula>
    </cfRule>
  </conditionalFormatting>
  <hyperlinks>
    <hyperlink ref="N6" r:id="rId1" display="http://tplinkwifi.net" xr:uid="{1D84F8DD-4D68-4F71-B220-24D73F0E3D57}"/>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356F1-8FCB-4688-B1E4-59832202414D}">
  <dimension ref="A1:G8"/>
  <sheetViews>
    <sheetView zoomScale="62" workbookViewId="0">
      <selection activeCell="A2" sqref="A2:G8"/>
    </sheetView>
  </sheetViews>
  <sheetFormatPr defaultColWidth="17.5" defaultRowHeight="17"/>
  <cols>
    <col min="1" max="1" width="24.58203125" bestFit="1" customWidth="1"/>
    <col min="2" max="2" width="27" customWidth="1"/>
    <col min="3" max="3" width="51.58203125" customWidth="1"/>
    <col min="4" max="4" width="48.75" bestFit="1" customWidth="1"/>
    <col min="5" max="5" width="39" customWidth="1"/>
    <col min="6" max="6" width="33.58203125" bestFit="1" customWidth="1"/>
    <col min="7" max="7" width="47.75" customWidth="1"/>
  </cols>
  <sheetData>
    <row r="1" spans="1:7" ht="34" customHeight="1">
      <c r="A1" s="61" t="s">
        <v>389</v>
      </c>
      <c r="B1" s="61"/>
      <c r="C1" s="61"/>
      <c r="D1" s="61"/>
      <c r="E1" s="61"/>
      <c r="F1" s="61"/>
      <c r="G1" s="61"/>
    </row>
    <row r="2" spans="1:7" ht="21.5" customHeight="1">
      <c r="A2" s="15" t="s">
        <v>9</v>
      </c>
      <c r="B2" s="15" t="s">
        <v>10</v>
      </c>
      <c r="C2" s="21" t="s">
        <v>369</v>
      </c>
      <c r="D2" s="21" t="s">
        <v>384</v>
      </c>
      <c r="E2" s="21" t="s">
        <v>383</v>
      </c>
      <c r="F2" s="21" t="s">
        <v>375</v>
      </c>
      <c r="G2" s="21" t="s">
        <v>382</v>
      </c>
    </row>
    <row r="3" spans="1:7" ht="119">
      <c r="A3" s="18">
        <v>1</v>
      </c>
      <c r="B3" s="12" t="s">
        <v>364</v>
      </c>
      <c r="C3" s="12" t="s">
        <v>370</v>
      </c>
      <c r="D3" s="12"/>
      <c r="E3" s="13" t="s">
        <v>374</v>
      </c>
      <c r="F3" s="13" t="s">
        <v>381</v>
      </c>
      <c r="G3" s="12"/>
    </row>
    <row r="4" spans="1:7" ht="51">
      <c r="A4" s="18">
        <v>2</v>
      </c>
      <c r="B4" s="12" t="s">
        <v>398</v>
      </c>
      <c r="C4" s="12" t="s">
        <v>371</v>
      </c>
      <c r="D4" s="12" t="s">
        <v>385</v>
      </c>
      <c r="E4" s="13" t="s">
        <v>376</v>
      </c>
      <c r="F4" s="14" t="s">
        <v>377</v>
      </c>
      <c r="G4" s="12"/>
    </row>
    <row r="5" spans="1:7" ht="85">
      <c r="A5" s="18">
        <v>3</v>
      </c>
      <c r="B5" s="12" t="s">
        <v>363</v>
      </c>
      <c r="C5" s="12" t="s">
        <v>372</v>
      </c>
      <c r="D5" s="12" t="s">
        <v>386</v>
      </c>
      <c r="E5" s="13" t="s">
        <v>378</v>
      </c>
      <c r="F5" s="14" t="s">
        <v>380</v>
      </c>
      <c r="G5" s="12" t="s">
        <v>367</v>
      </c>
    </row>
    <row r="6" spans="1:7" ht="170">
      <c r="A6" s="18">
        <v>4</v>
      </c>
      <c r="B6" s="12" t="s">
        <v>366</v>
      </c>
      <c r="C6" s="12" t="s">
        <v>394</v>
      </c>
      <c r="D6" s="12" t="s">
        <v>395</v>
      </c>
      <c r="E6" s="13" t="s">
        <v>368</v>
      </c>
      <c r="F6" s="14" t="s">
        <v>379</v>
      </c>
      <c r="G6" s="12"/>
    </row>
    <row r="7" spans="1:7" ht="85">
      <c r="A7" s="18">
        <v>5</v>
      </c>
      <c r="B7" s="12" t="s">
        <v>365</v>
      </c>
      <c r="C7" s="12" t="s">
        <v>396</v>
      </c>
      <c r="D7" s="12" t="s">
        <v>397</v>
      </c>
      <c r="E7" s="14" t="s">
        <v>373</v>
      </c>
      <c r="F7" s="19"/>
      <c r="G7" s="12"/>
    </row>
    <row r="8" spans="1:7" ht="34">
      <c r="A8" s="16" t="s">
        <v>8</v>
      </c>
      <c r="B8" s="13" t="s">
        <v>388</v>
      </c>
      <c r="C8" s="17"/>
      <c r="D8" s="17" t="s">
        <v>387</v>
      </c>
      <c r="E8" s="19"/>
      <c r="F8" s="19"/>
      <c r="G8" s="19"/>
    </row>
  </sheetData>
  <mergeCells count="1">
    <mergeCell ref="A1:G1"/>
  </mergeCells>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E0C8-7CE1-46D8-B9F3-5E7DCDFF3D1F}">
  <dimension ref="A1:J4"/>
  <sheetViews>
    <sheetView topLeftCell="E1" zoomScale="70" zoomScaleNormal="70" workbookViewId="0">
      <selection sqref="A1:J4"/>
    </sheetView>
  </sheetViews>
  <sheetFormatPr defaultColWidth="52.9140625" defaultRowHeight="17"/>
  <cols>
    <col min="1" max="1" width="8.4140625" bestFit="1" customWidth="1"/>
    <col min="2" max="2" width="27.58203125" bestFit="1" customWidth="1"/>
    <col min="3" max="3" width="52.6640625" bestFit="1" customWidth="1"/>
    <col min="4" max="4" width="52.58203125" bestFit="1" customWidth="1"/>
    <col min="5" max="5" width="48.4140625" customWidth="1"/>
    <col min="6" max="6" width="52.83203125" bestFit="1" customWidth="1"/>
    <col min="8" max="8" width="52.5" bestFit="1" customWidth="1"/>
    <col min="9" max="9" width="22.25" bestFit="1" customWidth="1"/>
    <col min="10" max="10" width="52.58203125" bestFit="1" customWidth="1"/>
  </cols>
  <sheetData>
    <row r="1" spans="1:10" ht="17.5" thickBot="1">
      <c r="A1" s="4" t="s">
        <v>9</v>
      </c>
      <c r="B1" s="5" t="s">
        <v>11</v>
      </c>
      <c r="C1" s="5" t="s">
        <v>12</v>
      </c>
      <c r="D1" s="5" t="s">
        <v>13</v>
      </c>
      <c r="E1" s="22" t="s">
        <v>406</v>
      </c>
      <c r="F1" s="22" t="s">
        <v>417</v>
      </c>
      <c r="G1" s="22" t="s">
        <v>405</v>
      </c>
      <c r="H1" s="5" t="s">
        <v>14</v>
      </c>
      <c r="I1" s="5" t="s">
        <v>15</v>
      </c>
      <c r="J1" s="5" t="s">
        <v>16</v>
      </c>
    </row>
    <row r="2" spans="1:10" ht="85.5" thickBot="1">
      <c r="A2" s="47" t="s">
        <v>17</v>
      </c>
      <c r="B2" s="47" t="s">
        <v>18</v>
      </c>
      <c r="C2" s="44" t="s">
        <v>357</v>
      </c>
      <c r="D2" s="44" t="s">
        <v>19</v>
      </c>
      <c r="E2" s="44" t="s">
        <v>399</v>
      </c>
      <c r="F2" s="3" t="s">
        <v>20</v>
      </c>
      <c r="G2" s="3" t="s">
        <v>359</v>
      </c>
      <c r="H2" s="44" t="s">
        <v>21</v>
      </c>
      <c r="I2" s="44" t="s">
        <v>22</v>
      </c>
      <c r="J2" s="6" t="s">
        <v>23</v>
      </c>
    </row>
    <row r="3" spans="1:10" ht="34.5" thickBot="1">
      <c r="A3" s="48"/>
      <c r="B3" s="48"/>
      <c r="C3" s="45"/>
      <c r="D3" s="45"/>
      <c r="E3" s="45"/>
      <c r="F3" s="3" t="s">
        <v>358</v>
      </c>
      <c r="G3" s="3" t="s">
        <v>24</v>
      </c>
      <c r="H3" s="45"/>
      <c r="I3" s="45"/>
      <c r="J3" s="7"/>
    </row>
    <row r="4" spans="1:10" ht="136.5" thickBot="1">
      <c r="A4" s="49"/>
      <c r="B4" s="49"/>
      <c r="C4" s="46"/>
      <c r="D4" s="46"/>
      <c r="E4" s="46"/>
      <c r="F4" s="3" t="s">
        <v>25</v>
      </c>
      <c r="G4" s="3" t="s">
        <v>26</v>
      </c>
      <c r="H4" s="46"/>
      <c r="I4" s="46"/>
      <c r="J4" s="7"/>
    </row>
  </sheetData>
  <mergeCells count="7">
    <mergeCell ref="I2:I4"/>
    <mergeCell ref="A2:A4"/>
    <mergeCell ref="B2:B4"/>
    <mergeCell ref="C2:C4"/>
    <mergeCell ref="D2:D4"/>
    <mergeCell ref="E2:E4"/>
    <mergeCell ref="H2:H4"/>
  </mergeCells>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A724-A177-408E-A72A-AA4756D6BFC4}">
  <dimension ref="A1:K220"/>
  <sheetViews>
    <sheetView zoomScale="49" zoomScaleNormal="40" workbookViewId="0">
      <selection activeCell="G6" sqref="A1:K42"/>
    </sheetView>
  </sheetViews>
  <sheetFormatPr defaultColWidth="52.9140625" defaultRowHeight="17"/>
  <cols>
    <col min="1" max="1" width="15.9140625" customWidth="1"/>
    <col min="2" max="2" width="27.58203125" bestFit="1" customWidth="1"/>
    <col min="3" max="3" width="52.6640625" bestFit="1" customWidth="1"/>
    <col min="4" max="4" width="77.9140625" customWidth="1"/>
    <col min="5" max="5" width="50.33203125" customWidth="1"/>
    <col min="6" max="6" width="22.33203125" bestFit="1" customWidth="1"/>
    <col min="7" max="7" width="110.25" customWidth="1"/>
    <col min="8" max="8" width="185.83203125" customWidth="1"/>
    <col min="9" max="9" width="52.5" bestFit="1" customWidth="1"/>
    <col min="10" max="10" width="33.6640625" customWidth="1"/>
    <col min="11" max="11" width="85.4140625" customWidth="1"/>
  </cols>
  <sheetData>
    <row r="1" spans="1:11" ht="17.5" thickBot="1">
      <c r="A1" s="4" t="s">
        <v>418</v>
      </c>
      <c r="B1" s="5" t="s">
        <v>11</v>
      </c>
      <c r="C1" s="5" t="s">
        <v>12</v>
      </c>
      <c r="D1" s="5" t="s">
        <v>13</v>
      </c>
      <c r="E1" s="22" t="s">
        <v>408</v>
      </c>
      <c r="F1" s="22" t="s">
        <v>422</v>
      </c>
      <c r="G1" s="22" t="s">
        <v>417</v>
      </c>
      <c r="H1" s="22" t="s">
        <v>407</v>
      </c>
      <c r="I1" s="5" t="s">
        <v>14</v>
      </c>
      <c r="J1" s="5" t="s">
        <v>15</v>
      </c>
      <c r="K1" s="5" t="s">
        <v>16</v>
      </c>
    </row>
    <row r="2" spans="1:11" ht="68.5" thickBot="1">
      <c r="A2" s="47" t="s">
        <v>438</v>
      </c>
      <c r="B2" s="47" t="s">
        <v>18</v>
      </c>
      <c r="C2" s="44" t="s">
        <v>357</v>
      </c>
      <c r="D2" s="44" t="s">
        <v>19</v>
      </c>
      <c r="E2" s="44" t="s">
        <v>485</v>
      </c>
      <c r="F2" s="47" t="s">
        <v>473</v>
      </c>
      <c r="G2" s="3" t="s">
        <v>20</v>
      </c>
      <c r="H2" s="3" t="s">
        <v>359</v>
      </c>
      <c r="I2" s="44" t="s">
        <v>21</v>
      </c>
      <c r="J2" s="44" t="s">
        <v>22</v>
      </c>
      <c r="K2" s="6" t="s">
        <v>439</v>
      </c>
    </row>
    <row r="3" spans="1:11" ht="17.5" thickBot="1">
      <c r="A3" s="48"/>
      <c r="B3" s="48"/>
      <c r="C3" s="45"/>
      <c r="D3" s="45"/>
      <c r="E3" s="45"/>
      <c r="F3" s="48"/>
      <c r="G3" s="3" t="s">
        <v>358</v>
      </c>
      <c r="H3" s="3" t="s">
        <v>24</v>
      </c>
      <c r="I3" s="45"/>
      <c r="J3" s="45"/>
      <c r="K3" s="7"/>
    </row>
    <row r="4" spans="1:11" ht="85.5" thickBot="1">
      <c r="A4" s="49"/>
      <c r="B4" s="49"/>
      <c r="C4" s="46"/>
      <c r="D4" s="46"/>
      <c r="E4" s="46"/>
      <c r="F4" s="49"/>
      <c r="G4" s="3" t="s">
        <v>25</v>
      </c>
      <c r="H4" s="3" t="s">
        <v>26</v>
      </c>
      <c r="I4" s="46"/>
      <c r="J4" s="46"/>
      <c r="K4" s="7"/>
    </row>
    <row r="5" spans="1:11" ht="136.5" thickBot="1">
      <c r="A5" s="2" t="s">
        <v>27</v>
      </c>
      <c r="B5" s="8" t="s">
        <v>28</v>
      </c>
      <c r="C5" s="3" t="s">
        <v>29</v>
      </c>
      <c r="D5" s="3" t="s">
        <v>30</v>
      </c>
      <c r="E5" s="3" t="s">
        <v>486</v>
      </c>
      <c r="F5" s="2" t="s">
        <v>474</v>
      </c>
      <c r="G5" s="3" t="s">
        <v>31</v>
      </c>
      <c r="H5" s="3" t="s">
        <v>32</v>
      </c>
      <c r="I5" s="3" t="s">
        <v>33</v>
      </c>
      <c r="J5" s="3" t="s">
        <v>34</v>
      </c>
      <c r="K5" s="7"/>
    </row>
    <row r="6" spans="1:11" ht="153.5" thickBot="1">
      <c r="A6" s="47" t="s">
        <v>35</v>
      </c>
      <c r="B6" s="47" t="s">
        <v>36</v>
      </c>
      <c r="C6" s="44" t="s">
        <v>37</v>
      </c>
      <c r="D6" s="44" t="s">
        <v>38</v>
      </c>
      <c r="E6" s="44" t="s">
        <v>486</v>
      </c>
      <c r="F6" s="47" t="s">
        <v>475</v>
      </c>
      <c r="G6" s="3" t="s">
        <v>39</v>
      </c>
      <c r="H6" s="3" t="s">
        <v>40</v>
      </c>
      <c r="I6" s="44" t="s">
        <v>41</v>
      </c>
      <c r="J6" s="44" t="s">
        <v>34</v>
      </c>
      <c r="K6" s="7"/>
    </row>
    <row r="7" spans="1:11" ht="34.5" thickBot="1">
      <c r="A7" s="48"/>
      <c r="B7" s="48"/>
      <c r="C7" s="45"/>
      <c r="D7" s="45"/>
      <c r="E7" s="45"/>
      <c r="F7" s="48"/>
      <c r="G7" s="3" t="s">
        <v>42</v>
      </c>
      <c r="H7" s="3" t="s">
        <v>43</v>
      </c>
      <c r="I7" s="45"/>
      <c r="J7" s="45"/>
      <c r="K7" s="7"/>
    </row>
    <row r="8" spans="1:11" ht="17.5" thickBot="1">
      <c r="A8" s="48"/>
      <c r="B8" s="48"/>
      <c r="C8" s="45"/>
      <c r="D8" s="45"/>
      <c r="E8" s="45"/>
      <c r="F8" s="48"/>
      <c r="G8" s="3" t="s">
        <v>44</v>
      </c>
      <c r="H8" s="3" t="s">
        <v>45</v>
      </c>
      <c r="I8" s="45"/>
      <c r="J8" s="45"/>
      <c r="K8" s="7"/>
    </row>
    <row r="9" spans="1:11" ht="34.5" thickBot="1">
      <c r="A9" s="48"/>
      <c r="B9" s="48"/>
      <c r="C9" s="45"/>
      <c r="D9" s="45"/>
      <c r="E9" s="45"/>
      <c r="F9" s="48"/>
      <c r="G9" s="3" t="s">
        <v>46</v>
      </c>
      <c r="H9" s="3" t="s">
        <v>47</v>
      </c>
      <c r="I9" s="45"/>
      <c r="J9" s="45"/>
      <c r="K9" s="7"/>
    </row>
    <row r="10" spans="1:11" ht="34.5" thickBot="1">
      <c r="A10" s="49"/>
      <c r="B10" s="49"/>
      <c r="C10" s="46"/>
      <c r="D10" s="46"/>
      <c r="E10" s="46"/>
      <c r="F10" s="49"/>
      <c r="G10" s="3" t="s">
        <v>48</v>
      </c>
      <c r="H10" s="3" t="s">
        <v>49</v>
      </c>
      <c r="I10" s="46"/>
      <c r="J10" s="46"/>
      <c r="K10" s="7"/>
    </row>
    <row r="11" spans="1:11" ht="153.5" thickBot="1">
      <c r="A11" s="47" t="s">
        <v>50</v>
      </c>
      <c r="B11" s="47" t="s">
        <v>51</v>
      </c>
      <c r="C11" s="44" t="s">
        <v>52</v>
      </c>
      <c r="D11" s="44" t="s">
        <v>38</v>
      </c>
      <c r="E11" s="44" t="s">
        <v>486</v>
      </c>
      <c r="F11" s="47" t="s">
        <v>476</v>
      </c>
      <c r="G11" s="3" t="s">
        <v>53</v>
      </c>
      <c r="H11" s="3" t="s">
        <v>40</v>
      </c>
      <c r="I11" s="44" t="s">
        <v>41</v>
      </c>
      <c r="J11" s="44" t="s">
        <v>34</v>
      </c>
      <c r="K11" s="7"/>
    </row>
    <row r="12" spans="1:11" ht="34.5" thickBot="1">
      <c r="A12" s="48"/>
      <c r="B12" s="48"/>
      <c r="C12" s="45"/>
      <c r="D12" s="45"/>
      <c r="E12" s="45"/>
      <c r="F12" s="48"/>
      <c r="G12" s="3" t="s">
        <v>54</v>
      </c>
      <c r="H12" s="3" t="s">
        <v>55</v>
      </c>
      <c r="I12" s="45"/>
      <c r="J12" s="45"/>
      <c r="K12" s="7"/>
    </row>
    <row r="13" spans="1:11" ht="119.5" thickBot="1">
      <c r="A13" s="48"/>
      <c r="B13" s="48"/>
      <c r="C13" s="45"/>
      <c r="D13" s="45"/>
      <c r="E13" s="45"/>
      <c r="F13" s="48"/>
      <c r="G13" s="3" t="s">
        <v>46</v>
      </c>
      <c r="H13" s="3" t="s">
        <v>435</v>
      </c>
      <c r="I13" s="45"/>
      <c r="J13" s="45"/>
      <c r="K13" s="7"/>
    </row>
    <row r="14" spans="1:11" ht="34.5" thickBot="1">
      <c r="A14" s="49"/>
      <c r="B14" s="49"/>
      <c r="C14" s="46"/>
      <c r="D14" s="46"/>
      <c r="E14" s="46"/>
      <c r="F14" s="49"/>
      <c r="G14" s="3" t="s">
        <v>48</v>
      </c>
      <c r="H14" s="3" t="s">
        <v>49</v>
      </c>
      <c r="I14" s="46"/>
      <c r="J14" s="46"/>
      <c r="K14" s="7"/>
    </row>
    <row r="15" spans="1:11" ht="68.5" thickBot="1">
      <c r="A15" s="47" t="s">
        <v>56</v>
      </c>
      <c r="B15" s="47" t="s">
        <v>57</v>
      </c>
      <c r="C15" s="44" t="s">
        <v>58</v>
      </c>
      <c r="D15" s="44" t="s">
        <v>59</v>
      </c>
      <c r="E15" s="44" t="s">
        <v>486</v>
      </c>
      <c r="F15" s="47" t="s">
        <v>477</v>
      </c>
      <c r="G15" s="3" t="s">
        <v>60</v>
      </c>
      <c r="H15" s="3" t="s">
        <v>61</v>
      </c>
      <c r="I15" s="44" t="s">
        <v>62</v>
      </c>
      <c r="J15" s="44" t="s">
        <v>63</v>
      </c>
      <c r="K15" s="7"/>
    </row>
    <row r="16" spans="1:11" ht="255.5" thickBot="1">
      <c r="A16" s="49"/>
      <c r="B16" s="49"/>
      <c r="C16" s="46"/>
      <c r="D16" s="46"/>
      <c r="E16" s="46"/>
      <c r="F16" s="49"/>
      <c r="G16" s="3" t="s">
        <v>64</v>
      </c>
      <c r="H16" s="3" t="s">
        <v>419</v>
      </c>
      <c r="I16" s="46"/>
      <c r="J16" s="46"/>
      <c r="K16" s="7"/>
    </row>
    <row r="17" spans="1:11" ht="68.5" thickBot="1">
      <c r="A17" s="47" t="s">
        <v>66</v>
      </c>
      <c r="B17" s="47" t="s">
        <v>67</v>
      </c>
      <c r="C17" s="44" t="s">
        <v>68</v>
      </c>
      <c r="D17" s="44" t="s">
        <v>59</v>
      </c>
      <c r="E17" s="44" t="s">
        <v>486</v>
      </c>
      <c r="F17" s="47" t="s">
        <v>478</v>
      </c>
      <c r="G17" s="3" t="s">
        <v>69</v>
      </c>
      <c r="H17" s="3" t="s">
        <v>70</v>
      </c>
      <c r="I17" s="44" t="s">
        <v>62</v>
      </c>
      <c r="J17" s="44" t="s">
        <v>63</v>
      </c>
      <c r="K17" s="7"/>
    </row>
    <row r="18" spans="1:11" ht="221.5" thickBot="1">
      <c r="A18" s="49"/>
      <c r="B18" s="49"/>
      <c r="C18" s="46"/>
      <c r="D18" s="46"/>
      <c r="E18" s="46"/>
      <c r="F18" s="49"/>
      <c r="G18" s="3" t="s">
        <v>71</v>
      </c>
      <c r="H18" s="3" t="s">
        <v>420</v>
      </c>
      <c r="I18" s="46"/>
      <c r="J18" s="46"/>
      <c r="K18" s="7"/>
    </row>
    <row r="19" spans="1:11" ht="68.5" thickBot="1">
      <c r="A19" s="47" t="s">
        <v>72</v>
      </c>
      <c r="B19" s="47" t="s">
        <v>73</v>
      </c>
      <c r="C19" s="44" t="s">
        <v>74</v>
      </c>
      <c r="D19" s="44" t="s">
        <v>59</v>
      </c>
      <c r="E19" s="44" t="s">
        <v>486</v>
      </c>
      <c r="F19" s="47" t="s">
        <v>479</v>
      </c>
      <c r="G19" s="3" t="s">
        <v>75</v>
      </c>
      <c r="H19" s="3" t="s">
        <v>76</v>
      </c>
      <c r="I19" s="44" t="s">
        <v>77</v>
      </c>
      <c r="J19" s="44" t="s">
        <v>63</v>
      </c>
      <c r="K19" s="7"/>
    </row>
    <row r="20" spans="1:11" ht="221.5" thickBot="1">
      <c r="A20" s="49"/>
      <c r="B20" s="49"/>
      <c r="C20" s="46"/>
      <c r="D20" s="46"/>
      <c r="E20" s="46"/>
      <c r="F20" s="49"/>
      <c r="G20" s="3" t="s">
        <v>71</v>
      </c>
      <c r="H20" s="3" t="s">
        <v>420</v>
      </c>
      <c r="I20" s="46"/>
      <c r="J20" s="46"/>
      <c r="K20" s="7"/>
    </row>
    <row r="21" spans="1:11" ht="68.5" thickBot="1">
      <c r="A21" s="47" t="s">
        <v>78</v>
      </c>
      <c r="B21" s="47" t="s">
        <v>79</v>
      </c>
      <c r="C21" s="44" t="s">
        <v>80</v>
      </c>
      <c r="D21" s="44" t="s">
        <v>59</v>
      </c>
      <c r="E21" s="44" t="s">
        <v>486</v>
      </c>
      <c r="F21" s="47" t="s">
        <v>480</v>
      </c>
      <c r="G21" s="3" t="s">
        <v>81</v>
      </c>
      <c r="H21" s="3" t="s">
        <v>82</v>
      </c>
      <c r="I21" s="44" t="s">
        <v>83</v>
      </c>
      <c r="J21" s="44" t="s">
        <v>63</v>
      </c>
      <c r="K21" s="7"/>
    </row>
    <row r="22" spans="1:11" ht="221.5" thickBot="1">
      <c r="A22" s="49"/>
      <c r="B22" s="49"/>
      <c r="C22" s="46"/>
      <c r="D22" s="46"/>
      <c r="E22" s="46"/>
      <c r="F22" s="49"/>
      <c r="G22" s="3" t="s">
        <v>84</v>
      </c>
      <c r="H22" s="3" t="s">
        <v>420</v>
      </c>
      <c r="I22" s="46"/>
      <c r="J22" s="46"/>
      <c r="K22" s="7"/>
    </row>
    <row r="23" spans="1:11" ht="68.5" thickBot="1">
      <c r="A23" s="47" t="s">
        <v>85</v>
      </c>
      <c r="B23" s="47" t="s">
        <v>86</v>
      </c>
      <c r="C23" s="44" t="s">
        <v>87</v>
      </c>
      <c r="D23" s="44" t="s">
        <v>59</v>
      </c>
      <c r="E23" s="44" t="s">
        <v>486</v>
      </c>
      <c r="F23" s="47" t="s">
        <v>481</v>
      </c>
      <c r="G23" s="3" t="s">
        <v>88</v>
      </c>
      <c r="H23" s="3" t="s">
        <v>82</v>
      </c>
      <c r="I23" s="44" t="s">
        <v>83</v>
      </c>
      <c r="J23" s="44" t="s">
        <v>63</v>
      </c>
      <c r="K23" s="7"/>
    </row>
    <row r="24" spans="1:11" ht="34.5" thickBot="1">
      <c r="A24" s="48"/>
      <c r="B24" s="48"/>
      <c r="C24" s="45"/>
      <c r="D24" s="45"/>
      <c r="E24" s="45"/>
      <c r="F24" s="48"/>
      <c r="G24" s="3" t="s">
        <v>89</v>
      </c>
      <c r="H24" s="3" t="s">
        <v>90</v>
      </c>
      <c r="I24" s="45"/>
      <c r="J24" s="45"/>
      <c r="K24" s="7"/>
    </row>
    <row r="25" spans="1:11" ht="34.5" thickBot="1">
      <c r="A25" s="48"/>
      <c r="B25" s="48"/>
      <c r="C25" s="45"/>
      <c r="D25" s="45"/>
      <c r="E25" s="45"/>
      <c r="F25" s="48"/>
      <c r="G25" s="3" t="s">
        <v>91</v>
      </c>
      <c r="H25" s="3" t="s">
        <v>92</v>
      </c>
      <c r="I25" s="45"/>
      <c r="J25" s="45"/>
      <c r="K25" s="7"/>
    </row>
    <row r="26" spans="1:11" ht="153.5" thickBot="1">
      <c r="A26" s="49"/>
      <c r="B26" s="49"/>
      <c r="C26" s="46"/>
      <c r="D26" s="46"/>
      <c r="E26" s="46"/>
      <c r="F26" s="49"/>
      <c r="G26" s="3" t="s">
        <v>93</v>
      </c>
      <c r="H26" s="3" t="s">
        <v>65</v>
      </c>
      <c r="I26" s="46"/>
      <c r="J26" s="46"/>
      <c r="K26" s="7"/>
    </row>
    <row r="27" spans="1:11" ht="136.5" customHeight="1" thickBot="1">
      <c r="A27" s="47" t="s">
        <v>94</v>
      </c>
      <c r="B27" s="47" t="s">
        <v>95</v>
      </c>
      <c r="C27" s="50" t="s">
        <v>96</v>
      </c>
      <c r="D27" s="50" t="s">
        <v>97</v>
      </c>
      <c r="E27" s="44" t="s">
        <v>486</v>
      </c>
      <c r="F27" s="47" t="s">
        <v>482</v>
      </c>
      <c r="G27" s="3" t="s">
        <v>98</v>
      </c>
      <c r="H27" s="3" t="s">
        <v>99</v>
      </c>
      <c r="I27" s="44" t="s">
        <v>100</v>
      </c>
      <c r="J27" s="44" t="s">
        <v>101</v>
      </c>
      <c r="K27" s="3" t="s">
        <v>102</v>
      </c>
    </row>
    <row r="28" spans="1:11" ht="170.5" customHeight="1" thickBot="1">
      <c r="A28" s="48"/>
      <c r="B28" s="48"/>
      <c r="C28" s="51"/>
      <c r="D28" s="51"/>
      <c r="E28" s="45"/>
      <c r="F28" s="48"/>
      <c r="G28" s="3" t="s">
        <v>103</v>
      </c>
      <c r="H28" s="3" t="s">
        <v>104</v>
      </c>
      <c r="I28" s="45"/>
      <c r="J28" s="45"/>
      <c r="K28" s="7"/>
    </row>
    <row r="29" spans="1:11" ht="85.5" customHeight="1" thickBot="1">
      <c r="A29" s="48"/>
      <c r="B29" s="48"/>
      <c r="C29" s="51"/>
      <c r="D29" s="51"/>
      <c r="E29" s="45"/>
      <c r="F29" s="48"/>
      <c r="G29" s="3" t="s">
        <v>105</v>
      </c>
      <c r="H29" s="3" t="s">
        <v>106</v>
      </c>
      <c r="I29" s="45"/>
      <c r="J29" s="45"/>
      <c r="K29" s="7"/>
    </row>
    <row r="30" spans="1:11" ht="68.5" customHeight="1" thickBot="1">
      <c r="A30" s="48"/>
      <c r="B30" s="48"/>
      <c r="C30" s="51"/>
      <c r="D30" s="51"/>
      <c r="E30" s="45"/>
      <c r="F30" s="48"/>
      <c r="G30" s="3" t="s">
        <v>107</v>
      </c>
      <c r="H30" s="3" t="s">
        <v>108</v>
      </c>
      <c r="I30" s="45"/>
      <c r="J30" s="45"/>
      <c r="K30" s="7"/>
    </row>
    <row r="31" spans="1:11" ht="51.5" customHeight="1" thickBot="1">
      <c r="A31" s="48"/>
      <c r="B31" s="48"/>
      <c r="C31" s="51"/>
      <c r="D31" s="51"/>
      <c r="E31" s="45"/>
      <c r="F31" s="48"/>
      <c r="G31" s="3" t="s">
        <v>109</v>
      </c>
      <c r="H31" s="3" t="s">
        <v>110</v>
      </c>
      <c r="I31" s="45"/>
      <c r="J31" s="45"/>
      <c r="K31" s="7"/>
    </row>
    <row r="32" spans="1:11" ht="119.5" customHeight="1" thickBot="1">
      <c r="A32" s="48"/>
      <c r="B32" s="48"/>
      <c r="C32" s="51"/>
      <c r="D32" s="51"/>
      <c r="E32" s="45"/>
      <c r="F32" s="48"/>
      <c r="G32" s="3" t="s">
        <v>111</v>
      </c>
      <c r="H32" s="3" t="s">
        <v>112</v>
      </c>
      <c r="I32" s="45"/>
      <c r="J32" s="45"/>
      <c r="K32" s="7"/>
    </row>
    <row r="33" spans="1:11" ht="153.5" customHeight="1" thickBot="1">
      <c r="A33" s="48"/>
      <c r="B33" s="48"/>
      <c r="C33" s="51"/>
      <c r="D33" s="51"/>
      <c r="E33" s="45"/>
      <c r="F33" s="48"/>
      <c r="G33" s="3" t="s">
        <v>113</v>
      </c>
      <c r="H33" s="3" t="s">
        <v>114</v>
      </c>
      <c r="I33" s="45"/>
      <c r="J33" s="45"/>
      <c r="K33" s="7"/>
    </row>
    <row r="34" spans="1:11" ht="68.5" customHeight="1" thickBot="1">
      <c r="A34" s="48"/>
      <c r="B34" s="48"/>
      <c r="C34" s="51"/>
      <c r="D34" s="51"/>
      <c r="E34" s="46"/>
      <c r="F34" s="48"/>
      <c r="G34" s="3" t="s">
        <v>48</v>
      </c>
      <c r="H34" s="3" t="s">
        <v>115</v>
      </c>
      <c r="I34" s="46"/>
      <c r="J34" s="46"/>
      <c r="K34" s="7"/>
    </row>
    <row r="35" spans="1:11" ht="136.5" customHeight="1" thickBot="1">
      <c r="A35" s="48"/>
      <c r="B35" s="48"/>
      <c r="C35" s="51"/>
      <c r="D35" s="53"/>
      <c r="E35" s="44" t="s">
        <v>486</v>
      </c>
      <c r="F35" s="48"/>
      <c r="G35" s="3" t="s">
        <v>98</v>
      </c>
      <c r="H35" s="3" t="s">
        <v>99</v>
      </c>
      <c r="I35" s="44" t="s">
        <v>100</v>
      </c>
      <c r="J35" s="44" t="s">
        <v>101</v>
      </c>
      <c r="K35" s="3" t="s">
        <v>102</v>
      </c>
    </row>
    <row r="36" spans="1:11" ht="170.5" customHeight="1" thickBot="1">
      <c r="A36" s="48"/>
      <c r="B36" s="48"/>
      <c r="C36" s="51"/>
      <c r="D36" s="53"/>
      <c r="E36" s="45"/>
      <c r="F36" s="48"/>
      <c r="G36" s="3" t="s">
        <v>103</v>
      </c>
      <c r="H36" s="3" t="s">
        <v>104</v>
      </c>
      <c r="I36" s="45"/>
      <c r="J36" s="45"/>
      <c r="K36" s="7"/>
    </row>
    <row r="37" spans="1:11" ht="85.5" customHeight="1" thickBot="1">
      <c r="A37" s="48"/>
      <c r="B37" s="48"/>
      <c r="C37" s="51"/>
      <c r="D37" s="53"/>
      <c r="E37" s="45"/>
      <c r="F37" s="48"/>
      <c r="G37" s="3" t="s">
        <v>105</v>
      </c>
      <c r="H37" s="3" t="s">
        <v>106</v>
      </c>
      <c r="I37" s="45"/>
      <c r="J37" s="45"/>
      <c r="K37" s="7"/>
    </row>
    <row r="38" spans="1:11" ht="68.5" customHeight="1" thickBot="1">
      <c r="A38" s="48"/>
      <c r="B38" s="48"/>
      <c r="C38" s="51"/>
      <c r="D38" s="53"/>
      <c r="E38" s="45"/>
      <c r="F38" s="48"/>
      <c r="G38" s="3" t="s">
        <v>107</v>
      </c>
      <c r="H38" s="3" t="s">
        <v>108</v>
      </c>
      <c r="I38" s="45"/>
      <c r="J38" s="45"/>
      <c r="K38" s="7"/>
    </row>
    <row r="39" spans="1:11" ht="51.5" customHeight="1" thickBot="1">
      <c r="A39" s="48"/>
      <c r="B39" s="48"/>
      <c r="C39" s="51"/>
      <c r="D39" s="53"/>
      <c r="E39" s="45"/>
      <c r="F39" s="48"/>
      <c r="G39" s="3" t="s">
        <v>109</v>
      </c>
      <c r="H39" s="3" t="s">
        <v>110</v>
      </c>
      <c r="I39" s="45"/>
      <c r="J39" s="45"/>
      <c r="K39" s="7"/>
    </row>
    <row r="40" spans="1:11" ht="119.5" customHeight="1" thickBot="1">
      <c r="A40" s="48"/>
      <c r="B40" s="48"/>
      <c r="C40" s="51"/>
      <c r="D40" s="53"/>
      <c r="E40" s="45"/>
      <c r="F40" s="48"/>
      <c r="G40" s="3" t="s">
        <v>111</v>
      </c>
      <c r="H40" s="3" t="s">
        <v>112</v>
      </c>
      <c r="I40" s="45"/>
      <c r="J40" s="45"/>
      <c r="K40" s="7"/>
    </row>
    <row r="41" spans="1:11" ht="153.5" customHeight="1" thickBot="1">
      <c r="A41" s="48"/>
      <c r="B41" s="48"/>
      <c r="C41" s="51"/>
      <c r="D41" s="53"/>
      <c r="E41" s="45"/>
      <c r="F41" s="48"/>
      <c r="G41" s="3" t="s">
        <v>113</v>
      </c>
      <c r="H41" s="3" t="s">
        <v>114</v>
      </c>
      <c r="I41" s="45"/>
      <c r="J41" s="45"/>
      <c r="K41" s="7"/>
    </row>
    <row r="42" spans="1:11" ht="68.5" customHeight="1" thickBot="1">
      <c r="A42" s="49"/>
      <c r="B42" s="49"/>
      <c r="C42" s="52"/>
      <c r="D42" s="54"/>
      <c r="E42" s="46"/>
      <c r="F42" s="49"/>
      <c r="G42" s="3" t="s">
        <v>48</v>
      </c>
      <c r="H42" s="3" t="s">
        <v>115</v>
      </c>
      <c r="I42" s="46"/>
      <c r="J42" s="46"/>
      <c r="K42" s="7"/>
    </row>
    <row r="43" spans="1:11" ht="136.5" thickBot="1">
      <c r="A43" s="47" t="s">
        <v>116</v>
      </c>
      <c r="B43" s="47" t="s">
        <v>117</v>
      </c>
      <c r="C43" s="44" t="s">
        <v>118</v>
      </c>
      <c r="D43" s="44" t="s">
        <v>38</v>
      </c>
      <c r="E43" s="44" t="s">
        <v>486</v>
      </c>
      <c r="F43" s="47" t="s">
        <v>483</v>
      </c>
      <c r="G43" s="3" t="s">
        <v>119</v>
      </c>
      <c r="H43" s="3" t="s">
        <v>120</v>
      </c>
      <c r="I43" s="44" t="s">
        <v>100</v>
      </c>
      <c r="J43" s="44" t="s">
        <v>22</v>
      </c>
      <c r="K43" s="7"/>
    </row>
    <row r="44" spans="1:11" ht="51.5" thickBot="1">
      <c r="A44" s="48"/>
      <c r="B44" s="48"/>
      <c r="C44" s="45"/>
      <c r="D44" s="45"/>
      <c r="E44" s="45"/>
      <c r="F44" s="48"/>
      <c r="G44" s="3" t="s">
        <v>105</v>
      </c>
      <c r="H44" s="3" t="s">
        <v>106</v>
      </c>
      <c r="I44" s="45"/>
      <c r="J44" s="45"/>
      <c r="K44" s="9"/>
    </row>
    <row r="45" spans="1:11" ht="85.5" thickBot="1">
      <c r="A45" s="48"/>
      <c r="B45" s="48"/>
      <c r="C45" s="45"/>
      <c r="D45" s="45"/>
      <c r="E45" s="45"/>
      <c r="F45" s="48"/>
      <c r="G45" s="3" t="s">
        <v>121</v>
      </c>
      <c r="H45" s="3" t="s">
        <v>122</v>
      </c>
      <c r="I45" s="45"/>
      <c r="J45" s="45"/>
      <c r="K45" s="9"/>
    </row>
    <row r="46" spans="1:11" ht="17.5" thickBot="1">
      <c r="A46" s="48"/>
      <c r="B46" s="48"/>
      <c r="C46" s="45"/>
      <c r="D46" s="45"/>
      <c r="E46" s="45"/>
      <c r="F46" s="48"/>
      <c r="G46" s="3" t="s">
        <v>123</v>
      </c>
      <c r="H46" s="9"/>
      <c r="I46" s="45"/>
      <c r="J46" s="45"/>
      <c r="K46" s="9"/>
    </row>
    <row r="47" spans="1:11" ht="34.5" thickBot="1">
      <c r="A47" s="48"/>
      <c r="B47" s="48"/>
      <c r="C47" s="45"/>
      <c r="D47" s="45"/>
      <c r="E47" s="45"/>
      <c r="F47" s="48"/>
      <c r="G47" s="3" t="s">
        <v>107</v>
      </c>
      <c r="H47" s="3" t="s">
        <v>108</v>
      </c>
      <c r="I47" s="45"/>
      <c r="J47" s="45"/>
      <c r="K47" s="9"/>
    </row>
    <row r="48" spans="1:11" ht="17.5" thickBot="1">
      <c r="A48" s="48"/>
      <c r="B48" s="48"/>
      <c r="C48" s="45"/>
      <c r="D48" s="45"/>
      <c r="E48" s="45"/>
      <c r="F48" s="48"/>
      <c r="G48" s="3" t="s">
        <v>109</v>
      </c>
      <c r="H48" s="3" t="s">
        <v>110</v>
      </c>
      <c r="I48" s="45"/>
      <c r="J48" s="45"/>
      <c r="K48" s="9"/>
    </row>
    <row r="49" spans="1:11" ht="68.5" thickBot="1">
      <c r="A49" s="48"/>
      <c r="B49" s="48"/>
      <c r="C49" s="45"/>
      <c r="D49" s="45"/>
      <c r="E49" s="45"/>
      <c r="F49" s="48"/>
      <c r="G49" s="3" t="s">
        <v>111</v>
      </c>
      <c r="H49" s="3" t="s">
        <v>124</v>
      </c>
      <c r="I49" s="45"/>
      <c r="J49" s="45"/>
      <c r="K49" s="9"/>
    </row>
    <row r="50" spans="1:11" ht="17.5" thickBot="1">
      <c r="A50" s="49"/>
      <c r="B50" s="49"/>
      <c r="C50" s="46"/>
      <c r="D50" s="46"/>
      <c r="E50" s="46"/>
      <c r="F50" s="49"/>
      <c r="G50" s="3" t="s">
        <v>48</v>
      </c>
      <c r="H50" s="3" t="s">
        <v>115</v>
      </c>
      <c r="I50" s="46"/>
      <c r="J50" s="46"/>
      <c r="K50" s="9"/>
    </row>
    <row r="51" spans="1:11">
      <c r="A51" s="27"/>
      <c r="B51" s="27"/>
      <c r="C51" s="27"/>
      <c r="D51" s="27"/>
      <c r="E51" s="27"/>
      <c r="F51" s="27"/>
      <c r="G51" s="27"/>
      <c r="H51" s="27"/>
      <c r="I51" s="27"/>
      <c r="J51" s="27"/>
    </row>
    <row r="52" spans="1:11">
      <c r="A52" s="27"/>
      <c r="B52" s="27"/>
      <c r="C52" s="27"/>
      <c r="D52" s="27"/>
      <c r="E52" s="27"/>
      <c r="F52" s="27"/>
      <c r="G52" s="27"/>
      <c r="H52" s="27"/>
      <c r="I52" s="27"/>
      <c r="J52" s="27"/>
    </row>
    <row r="53" spans="1:11">
      <c r="A53" s="27"/>
      <c r="B53" s="27"/>
      <c r="C53" s="27"/>
      <c r="D53" s="27"/>
      <c r="E53" s="27"/>
      <c r="F53" s="27"/>
      <c r="G53" s="27"/>
      <c r="H53" s="27"/>
      <c r="I53" s="27"/>
      <c r="J53" s="27"/>
    </row>
    <row r="54" spans="1:11">
      <c r="A54" s="27"/>
      <c r="B54" s="27"/>
      <c r="C54" s="27"/>
      <c r="D54" s="27"/>
      <c r="E54" s="27"/>
      <c r="F54" s="27"/>
      <c r="G54" s="27"/>
      <c r="H54" s="27"/>
      <c r="I54" s="27"/>
      <c r="J54" s="27"/>
    </row>
    <row r="55" spans="1:11">
      <c r="A55" s="27"/>
      <c r="B55" s="27"/>
      <c r="C55" s="27"/>
      <c r="D55" s="27"/>
      <c r="E55" s="27"/>
      <c r="F55" s="27"/>
      <c r="G55" s="27"/>
      <c r="H55" s="27"/>
      <c r="I55" s="27"/>
      <c r="J55" s="27"/>
    </row>
    <row r="56" spans="1:11">
      <c r="A56" s="27"/>
      <c r="B56" s="27"/>
      <c r="C56" s="27"/>
      <c r="D56" s="27"/>
      <c r="E56" s="27"/>
      <c r="F56" s="27"/>
      <c r="G56" s="27"/>
      <c r="H56" s="27"/>
      <c r="I56" s="27"/>
      <c r="J56" s="27"/>
    </row>
    <row r="57" spans="1:11">
      <c r="A57" s="27"/>
      <c r="B57" s="27"/>
      <c r="C57" s="27"/>
      <c r="D57" s="27"/>
      <c r="E57" s="27"/>
      <c r="F57" s="27"/>
      <c r="G57" s="27"/>
      <c r="H57" s="27"/>
      <c r="I57" s="27"/>
      <c r="J57" s="27"/>
    </row>
    <row r="58" spans="1:11">
      <c r="A58" s="27"/>
      <c r="B58" s="27"/>
      <c r="C58" s="27"/>
      <c r="D58" s="27"/>
      <c r="E58" s="27"/>
      <c r="F58" s="27"/>
      <c r="G58" s="27"/>
      <c r="H58" s="27"/>
      <c r="I58" s="27"/>
      <c r="J58" s="27"/>
    </row>
    <row r="59" spans="1:11">
      <c r="A59" s="27"/>
      <c r="B59" s="27"/>
      <c r="C59" s="27"/>
      <c r="D59" s="27"/>
      <c r="E59" s="27"/>
      <c r="F59" s="27"/>
      <c r="G59" s="27"/>
      <c r="H59" s="27"/>
      <c r="I59" s="27"/>
      <c r="J59" s="27"/>
    </row>
    <row r="60" spans="1:11">
      <c r="A60" s="27"/>
      <c r="B60" s="27"/>
      <c r="C60" s="27"/>
      <c r="D60" s="27"/>
      <c r="E60" s="27"/>
      <c r="F60" s="27"/>
      <c r="G60" s="27"/>
      <c r="H60" s="27"/>
      <c r="I60" s="27"/>
      <c r="J60" s="27"/>
    </row>
    <row r="61" spans="1:11">
      <c r="A61" s="27"/>
      <c r="B61" s="27"/>
      <c r="C61" s="27"/>
      <c r="D61" s="27"/>
      <c r="E61" s="27"/>
      <c r="F61" s="27"/>
      <c r="G61" s="27"/>
      <c r="H61" s="27"/>
      <c r="I61" s="27"/>
      <c r="J61" s="27"/>
    </row>
    <row r="62" spans="1:11">
      <c r="A62" s="27"/>
      <c r="B62" s="27"/>
      <c r="C62" s="27"/>
      <c r="D62" s="27"/>
      <c r="E62" s="27"/>
      <c r="F62" s="27"/>
      <c r="G62" s="27"/>
      <c r="H62" s="27"/>
      <c r="I62" s="27"/>
      <c r="J62" s="27"/>
    </row>
    <row r="63" spans="1:11">
      <c r="A63" s="27"/>
      <c r="B63" s="27"/>
      <c r="C63" s="27"/>
      <c r="D63" s="27"/>
      <c r="E63" s="27"/>
      <c r="F63" s="27"/>
      <c r="G63" s="27"/>
      <c r="H63" s="27"/>
      <c r="I63" s="27"/>
      <c r="J63" s="27"/>
    </row>
    <row r="64" spans="1:11">
      <c r="A64" s="27"/>
      <c r="B64" s="27"/>
      <c r="C64" s="27"/>
      <c r="D64" s="27"/>
      <c r="E64" s="27"/>
      <c r="F64" s="27"/>
      <c r="G64" s="27"/>
      <c r="H64" s="27"/>
      <c r="I64" s="27"/>
      <c r="J64" s="27"/>
    </row>
    <row r="65" spans="1:10">
      <c r="A65" s="27"/>
      <c r="B65" s="27"/>
      <c r="C65" s="27"/>
      <c r="D65" s="27"/>
      <c r="E65" s="27"/>
      <c r="F65" s="27"/>
      <c r="G65" s="27"/>
      <c r="H65" s="27"/>
      <c r="I65" s="27"/>
      <c r="J65" s="27"/>
    </row>
    <row r="66" spans="1:10">
      <c r="A66" s="27"/>
      <c r="B66" s="27"/>
      <c r="C66" s="27"/>
      <c r="D66" s="27"/>
      <c r="E66" s="27"/>
      <c r="F66" s="27"/>
      <c r="G66" s="27"/>
      <c r="H66" s="27"/>
      <c r="I66" s="27"/>
      <c r="J66" s="27"/>
    </row>
    <row r="67" spans="1:10">
      <c r="A67" s="27"/>
      <c r="B67" s="27"/>
      <c r="C67" s="27"/>
      <c r="D67" s="27"/>
      <c r="E67" s="27"/>
      <c r="F67" s="27"/>
      <c r="G67" s="27"/>
      <c r="H67" s="27"/>
      <c r="I67" s="27"/>
      <c r="J67" s="27"/>
    </row>
    <row r="68" spans="1:10">
      <c r="A68" s="27"/>
      <c r="B68" s="27"/>
      <c r="C68" s="27"/>
      <c r="D68" s="27"/>
      <c r="E68" s="27"/>
      <c r="F68" s="27"/>
      <c r="G68" s="27"/>
      <c r="H68" s="27"/>
      <c r="I68" s="27"/>
      <c r="J68" s="27"/>
    </row>
    <row r="69" spans="1:10">
      <c r="A69" s="27"/>
      <c r="B69" s="27"/>
      <c r="C69" s="27"/>
      <c r="D69" s="27"/>
      <c r="E69" s="27"/>
      <c r="F69" s="27"/>
      <c r="G69" s="27"/>
      <c r="H69" s="27"/>
      <c r="I69" s="27"/>
      <c r="J69" s="27"/>
    </row>
    <row r="70" spans="1:10">
      <c r="A70" s="27"/>
      <c r="B70" s="27"/>
      <c r="C70" s="27"/>
      <c r="D70" s="27"/>
      <c r="E70" s="27"/>
      <c r="F70" s="27"/>
      <c r="G70" s="27"/>
      <c r="H70" s="27"/>
      <c r="I70" s="27"/>
      <c r="J70" s="27"/>
    </row>
    <row r="71" spans="1:10">
      <c r="A71" s="27"/>
      <c r="B71" s="27"/>
      <c r="C71" s="27"/>
      <c r="D71" s="27"/>
      <c r="E71" s="27"/>
      <c r="F71" s="27"/>
      <c r="G71" s="27"/>
      <c r="H71" s="27"/>
      <c r="I71" s="27"/>
      <c r="J71" s="27"/>
    </row>
    <row r="72" spans="1:10">
      <c r="A72" s="27"/>
      <c r="B72" s="27"/>
      <c r="C72" s="27"/>
      <c r="D72" s="27"/>
      <c r="E72" s="27"/>
      <c r="F72" s="27"/>
      <c r="G72" s="27"/>
      <c r="H72" s="27"/>
      <c r="I72" s="27"/>
      <c r="J72" s="27"/>
    </row>
    <row r="73" spans="1:10">
      <c r="A73" s="27"/>
      <c r="B73" s="27"/>
      <c r="C73" s="27"/>
      <c r="D73" s="27"/>
      <c r="E73" s="27"/>
      <c r="F73" s="27"/>
      <c r="G73" s="27"/>
      <c r="H73" s="27"/>
      <c r="I73" s="27"/>
      <c r="J73" s="27"/>
    </row>
    <row r="74" spans="1:10">
      <c r="A74" s="27"/>
      <c r="B74" s="27"/>
      <c r="C74" s="27"/>
      <c r="D74" s="27"/>
      <c r="E74" s="27"/>
      <c r="F74" s="27"/>
      <c r="G74" s="27"/>
      <c r="H74" s="27"/>
      <c r="I74" s="27"/>
      <c r="J74" s="27"/>
    </row>
    <row r="75" spans="1:10">
      <c r="A75" s="27"/>
      <c r="B75" s="27"/>
      <c r="C75" s="27"/>
      <c r="D75" s="27"/>
      <c r="E75" s="27"/>
      <c r="F75" s="27"/>
      <c r="G75" s="27"/>
      <c r="H75" s="27"/>
      <c r="I75" s="27"/>
      <c r="J75" s="27"/>
    </row>
    <row r="76" spans="1:10">
      <c r="A76" s="27"/>
      <c r="B76" s="27"/>
      <c r="C76" s="27"/>
      <c r="D76" s="27"/>
      <c r="E76" s="27"/>
      <c r="F76" s="27"/>
      <c r="G76" s="27"/>
      <c r="H76" s="27"/>
      <c r="I76" s="27"/>
      <c r="J76" s="27"/>
    </row>
    <row r="77" spans="1:10">
      <c r="A77" s="27"/>
      <c r="B77" s="27"/>
      <c r="C77" s="27"/>
      <c r="D77" s="27"/>
      <c r="E77" s="27"/>
      <c r="F77" s="27"/>
      <c r="G77" s="27"/>
      <c r="H77" s="27"/>
      <c r="I77" s="27"/>
      <c r="J77" s="27"/>
    </row>
    <row r="78" spans="1:10">
      <c r="A78" s="27"/>
      <c r="B78" s="27"/>
      <c r="C78" s="27"/>
      <c r="D78" s="27"/>
      <c r="E78" s="27"/>
      <c r="F78" s="27"/>
      <c r="G78" s="27"/>
      <c r="H78" s="27"/>
      <c r="I78" s="27"/>
      <c r="J78" s="27"/>
    </row>
    <row r="79" spans="1:10">
      <c r="A79" s="27"/>
      <c r="B79" s="27"/>
      <c r="C79" s="27"/>
      <c r="D79" s="27"/>
      <c r="E79" s="27"/>
      <c r="F79" s="27"/>
      <c r="G79" s="27"/>
      <c r="H79" s="27"/>
      <c r="I79" s="27"/>
      <c r="J79" s="27"/>
    </row>
    <row r="80" spans="1:10">
      <c r="A80" s="27"/>
      <c r="B80" s="27"/>
      <c r="C80" s="27"/>
      <c r="D80" s="27"/>
      <c r="E80" s="27"/>
      <c r="F80" s="27"/>
      <c r="G80" s="27"/>
      <c r="H80" s="27"/>
      <c r="I80" s="27"/>
      <c r="J80" s="27"/>
    </row>
    <row r="81" spans="1:10">
      <c r="A81" s="27"/>
      <c r="B81" s="27"/>
      <c r="C81" s="27"/>
      <c r="D81" s="27"/>
      <c r="E81" s="27"/>
      <c r="F81" s="27"/>
      <c r="G81" s="27"/>
      <c r="H81" s="27"/>
      <c r="I81" s="27"/>
      <c r="J81" s="27"/>
    </row>
    <row r="82" spans="1:10">
      <c r="A82" s="27"/>
      <c r="B82" s="27"/>
      <c r="C82" s="27"/>
      <c r="D82" s="27"/>
      <c r="E82" s="27"/>
      <c r="F82" s="27"/>
      <c r="G82" s="27"/>
      <c r="H82" s="27"/>
      <c r="I82" s="27"/>
      <c r="J82" s="27"/>
    </row>
    <row r="83" spans="1:10">
      <c r="A83" s="27"/>
      <c r="B83" s="27"/>
      <c r="C83" s="27"/>
      <c r="D83" s="27"/>
      <c r="E83" s="27"/>
      <c r="F83" s="27"/>
      <c r="G83" s="27"/>
      <c r="H83" s="27"/>
      <c r="I83" s="27"/>
      <c r="J83" s="27"/>
    </row>
    <row r="84" spans="1:10">
      <c r="A84" s="27"/>
      <c r="B84" s="27"/>
      <c r="C84" s="27"/>
      <c r="D84" s="27"/>
      <c r="E84" s="27"/>
      <c r="F84" s="27"/>
      <c r="G84" s="27"/>
      <c r="H84" s="27"/>
      <c r="I84" s="27"/>
      <c r="J84" s="27"/>
    </row>
    <row r="85" spans="1:10">
      <c r="A85" s="27"/>
      <c r="B85" s="27"/>
      <c r="C85" s="27"/>
      <c r="D85" s="27"/>
      <c r="E85" s="27"/>
      <c r="F85" s="27"/>
      <c r="G85" s="27"/>
      <c r="H85" s="27"/>
      <c r="I85" s="27"/>
      <c r="J85" s="27"/>
    </row>
    <row r="86" spans="1:10">
      <c r="A86" s="27"/>
      <c r="B86" s="27"/>
      <c r="C86" s="27"/>
      <c r="D86" s="27"/>
      <c r="E86" s="27"/>
      <c r="F86" s="27"/>
      <c r="G86" s="27"/>
      <c r="H86" s="27"/>
      <c r="I86" s="27"/>
      <c r="J86" s="27"/>
    </row>
    <row r="87" spans="1:10">
      <c r="A87" s="27"/>
      <c r="B87" s="27"/>
      <c r="C87" s="27"/>
      <c r="D87" s="27"/>
      <c r="E87" s="27"/>
      <c r="F87" s="27"/>
      <c r="G87" s="27"/>
      <c r="H87" s="27"/>
      <c r="I87" s="27"/>
      <c r="J87" s="27"/>
    </row>
    <row r="88" spans="1:10">
      <c r="A88" s="27"/>
      <c r="B88" s="27"/>
      <c r="C88" s="27"/>
      <c r="D88" s="27"/>
      <c r="E88" s="27"/>
      <c r="F88" s="27"/>
      <c r="G88" s="27"/>
      <c r="H88" s="27"/>
      <c r="I88" s="27"/>
      <c r="J88" s="27"/>
    </row>
    <row r="89" spans="1:10">
      <c r="A89" s="27"/>
      <c r="B89" s="27"/>
      <c r="C89" s="27"/>
      <c r="D89" s="27"/>
      <c r="E89" s="27"/>
      <c r="F89" s="27"/>
      <c r="G89" s="27"/>
      <c r="H89" s="27"/>
      <c r="I89" s="27"/>
      <c r="J89" s="27"/>
    </row>
    <row r="90" spans="1:10">
      <c r="A90" s="27"/>
      <c r="B90" s="27"/>
      <c r="C90" s="27"/>
      <c r="D90" s="27"/>
      <c r="E90" s="27"/>
      <c r="F90" s="27"/>
      <c r="G90" s="27"/>
      <c r="H90" s="27"/>
      <c r="I90" s="27"/>
      <c r="J90" s="27"/>
    </row>
    <row r="91" spans="1:10">
      <c r="A91" s="27"/>
      <c r="B91" s="27"/>
      <c r="C91" s="27"/>
      <c r="D91" s="27"/>
      <c r="E91" s="27"/>
      <c r="F91" s="27"/>
      <c r="G91" s="27"/>
      <c r="H91" s="27"/>
      <c r="I91" s="27"/>
      <c r="J91" s="27"/>
    </row>
    <row r="92" spans="1:10">
      <c r="A92" s="27"/>
      <c r="B92" s="27"/>
      <c r="C92" s="27"/>
      <c r="D92" s="27"/>
      <c r="E92" s="27"/>
      <c r="F92" s="27"/>
      <c r="G92" s="27"/>
      <c r="H92" s="27"/>
      <c r="I92" s="27"/>
      <c r="J92" s="27"/>
    </row>
    <row r="93" spans="1:10">
      <c r="A93" s="27"/>
      <c r="B93" s="27"/>
      <c r="C93" s="27"/>
      <c r="D93" s="27"/>
      <c r="E93" s="27"/>
      <c r="F93" s="27"/>
      <c r="G93" s="27"/>
      <c r="H93" s="27"/>
      <c r="I93" s="27"/>
      <c r="J93" s="27"/>
    </row>
    <row r="94" spans="1:10">
      <c r="A94" s="27"/>
      <c r="B94" s="27"/>
      <c r="C94" s="27"/>
      <c r="D94" s="27"/>
      <c r="E94" s="27"/>
      <c r="F94" s="27"/>
      <c r="G94" s="27"/>
      <c r="H94" s="27"/>
      <c r="I94" s="27"/>
      <c r="J94" s="27"/>
    </row>
    <row r="95" spans="1:10">
      <c r="A95" s="27"/>
      <c r="B95" s="27"/>
      <c r="C95" s="27"/>
      <c r="D95" s="27"/>
      <c r="E95" s="27"/>
      <c r="F95" s="27"/>
      <c r="G95" s="27"/>
      <c r="H95" s="27"/>
      <c r="I95" s="27"/>
      <c r="J95" s="27"/>
    </row>
    <row r="96" spans="1:10">
      <c r="A96" s="27"/>
      <c r="B96" s="27"/>
      <c r="C96" s="27"/>
      <c r="D96" s="27"/>
      <c r="E96" s="27"/>
      <c r="F96" s="27"/>
      <c r="G96" s="27"/>
      <c r="H96" s="27"/>
      <c r="I96" s="27"/>
      <c r="J96" s="27"/>
    </row>
    <row r="97" spans="1:10">
      <c r="A97" s="27"/>
      <c r="B97" s="27"/>
      <c r="C97" s="27"/>
      <c r="D97" s="27"/>
      <c r="E97" s="27"/>
      <c r="F97" s="27"/>
      <c r="G97" s="27"/>
      <c r="H97" s="27"/>
      <c r="I97" s="27"/>
      <c r="J97" s="27"/>
    </row>
    <row r="98" spans="1:10">
      <c r="A98" s="27"/>
      <c r="B98" s="27"/>
      <c r="C98" s="27"/>
      <c r="D98" s="27"/>
      <c r="E98" s="27"/>
      <c r="F98" s="27"/>
      <c r="G98" s="27"/>
      <c r="H98" s="27"/>
      <c r="I98" s="27"/>
      <c r="J98" s="27"/>
    </row>
    <row r="99" spans="1:10">
      <c r="A99" s="27"/>
      <c r="B99" s="27"/>
      <c r="C99" s="27"/>
      <c r="D99" s="27"/>
      <c r="E99" s="27"/>
      <c r="F99" s="27"/>
      <c r="G99" s="27"/>
      <c r="H99" s="27"/>
      <c r="I99" s="27"/>
      <c r="J99" s="27"/>
    </row>
    <row r="100" spans="1:10">
      <c r="A100" s="27"/>
      <c r="B100" s="27"/>
      <c r="C100" s="27"/>
      <c r="D100" s="27"/>
      <c r="E100" s="27"/>
      <c r="F100" s="27"/>
      <c r="G100" s="27"/>
      <c r="H100" s="27"/>
      <c r="I100" s="27"/>
      <c r="J100" s="27"/>
    </row>
    <row r="101" spans="1:10">
      <c r="A101" s="27"/>
      <c r="B101" s="27"/>
      <c r="C101" s="27"/>
      <c r="D101" s="27"/>
      <c r="E101" s="27"/>
      <c r="F101" s="27"/>
      <c r="G101" s="27"/>
      <c r="H101" s="27"/>
      <c r="I101" s="27"/>
      <c r="J101" s="27"/>
    </row>
    <row r="102" spans="1:10">
      <c r="A102" s="27"/>
      <c r="B102" s="27"/>
      <c r="C102" s="27"/>
      <c r="D102" s="27"/>
      <c r="E102" s="27"/>
      <c r="F102" s="27"/>
      <c r="G102" s="27"/>
      <c r="H102" s="27"/>
      <c r="I102" s="27"/>
      <c r="J102" s="27"/>
    </row>
    <row r="103" spans="1:10">
      <c r="A103" s="27"/>
      <c r="B103" s="27"/>
      <c r="C103" s="27"/>
      <c r="D103" s="27"/>
      <c r="E103" s="27"/>
      <c r="F103" s="27"/>
      <c r="G103" s="27"/>
      <c r="H103" s="27"/>
      <c r="I103" s="27"/>
      <c r="J103" s="27"/>
    </row>
    <row r="104" spans="1:10">
      <c r="A104" s="27"/>
      <c r="B104" s="27"/>
      <c r="C104" s="27"/>
      <c r="D104" s="27"/>
      <c r="E104" s="27"/>
      <c r="F104" s="27"/>
      <c r="G104" s="27"/>
      <c r="H104" s="27"/>
      <c r="I104" s="27"/>
      <c r="J104" s="27"/>
    </row>
    <row r="105" spans="1:10">
      <c r="A105" s="27"/>
      <c r="B105" s="27"/>
      <c r="C105" s="27"/>
      <c r="D105" s="27"/>
      <c r="E105" s="27"/>
      <c r="F105" s="27"/>
      <c r="G105" s="27"/>
      <c r="H105" s="27"/>
      <c r="I105" s="27"/>
      <c r="J105" s="27"/>
    </row>
    <row r="106" spans="1:10">
      <c r="A106" s="27"/>
      <c r="B106" s="27"/>
      <c r="C106" s="27"/>
      <c r="D106" s="27"/>
      <c r="E106" s="27"/>
      <c r="F106" s="27"/>
      <c r="G106" s="27"/>
      <c r="H106" s="27"/>
      <c r="I106" s="27"/>
      <c r="J106" s="27"/>
    </row>
    <row r="107" spans="1:10">
      <c r="A107" s="27"/>
      <c r="B107" s="27"/>
      <c r="C107" s="27"/>
      <c r="D107" s="27"/>
      <c r="E107" s="27"/>
      <c r="F107" s="27"/>
      <c r="G107" s="27"/>
      <c r="H107" s="27"/>
      <c r="I107" s="27"/>
      <c r="J107" s="27"/>
    </row>
    <row r="108" spans="1:10">
      <c r="A108" s="27"/>
      <c r="B108" s="27"/>
      <c r="C108" s="27"/>
      <c r="D108" s="27"/>
      <c r="E108" s="27"/>
      <c r="F108" s="27"/>
      <c r="G108" s="27"/>
      <c r="H108" s="27"/>
      <c r="I108" s="27"/>
      <c r="J108" s="27"/>
    </row>
    <row r="109" spans="1:10">
      <c r="A109" s="27"/>
      <c r="B109" s="27"/>
      <c r="C109" s="27"/>
      <c r="D109" s="27"/>
      <c r="E109" s="27"/>
      <c r="F109" s="27"/>
      <c r="G109" s="27"/>
      <c r="H109" s="27"/>
      <c r="I109" s="27"/>
      <c r="J109" s="27"/>
    </row>
    <row r="110" spans="1:10">
      <c r="A110" s="27"/>
      <c r="B110" s="27"/>
      <c r="C110" s="27"/>
      <c r="D110" s="27"/>
      <c r="E110" s="27"/>
      <c r="F110" s="27"/>
      <c r="G110" s="27"/>
      <c r="H110" s="27"/>
      <c r="I110" s="27"/>
      <c r="J110" s="27"/>
    </row>
    <row r="111" spans="1:10">
      <c r="A111" s="27"/>
      <c r="B111" s="27"/>
      <c r="C111" s="27"/>
      <c r="D111" s="27"/>
      <c r="E111" s="27"/>
      <c r="F111" s="27"/>
      <c r="G111" s="27"/>
      <c r="H111" s="27"/>
      <c r="I111" s="27"/>
      <c r="J111" s="27"/>
    </row>
    <row r="112" spans="1:10">
      <c r="A112" s="27"/>
      <c r="B112" s="27"/>
      <c r="C112" s="27"/>
      <c r="D112" s="27"/>
      <c r="E112" s="27"/>
      <c r="F112" s="27"/>
      <c r="G112" s="27"/>
      <c r="H112" s="27"/>
      <c r="I112" s="27"/>
      <c r="J112" s="27"/>
    </row>
    <row r="113" spans="1:10">
      <c r="A113" s="27"/>
      <c r="B113" s="27"/>
      <c r="C113" s="27"/>
      <c r="D113" s="27"/>
      <c r="E113" s="27"/>
      <c r="F113" s="27"/>
      <c r="G113" s="27"/>
      <c r="H113" s="27"/>
      <c r="I113" s="27"/>
      <c r="J113" s="27"/>
    </row>
    <row r="114" spans="1:10">
      <c r="A114" s="27"/>
      <c r="B114" s="27"/>
      <c r="C114" s="27"/>
      <c r="D114" s="27"/>
      <c r="E114" s="27"/>
      <c r="F114" s="27"/>
      <c r="G114" s="27"/>
      <c r="H114" s="27"/>
      <c r="I114" s="27"/>
      <c r="J114" s="27"/>
    </row>
    <row r="115" spans="1:10">
      <c r="A115" s="27"/>
      <c r="B115" s="27"/>
      <c r="C115" s="27"/>
      <c r="D115" s="27"/>
      <c r="E115" s="27"/>
      <c r="F115" s="27"/>
      <c r="G115" s="27"/>
      <c r="H115" s="27"/>
      <c r="I115" s="27"/>
      <c r="J115" s="27"/>
    </row>
    <row r="116" spans="1:10">
      <c r="A116" s="27"/>
      <c r="B116" s="27"/>
      <c r="C116" s="27"/>
      <c r="D116" s="27"/>
      <c r="E116" s="27"/>
      <c r="F116" s="27"/>
      <c r="G116" s="27"/>
      <c r="H116" s="27"/>
      <c r="I116" s="27"/>
      <c r="J116" s="27"/>
    </row>
    <row r="117" spans="1:10">
      <c r="A117" s="27"/>
      <c r="B117" s="27"/>
      <c r="C117" s="27"/>
      <c r="D117" s="27"/>
      <c r="E117" s="27"/>
      <c r="F117" s="27"/>
      <c r="G117" s="27"/>
      <c r="H117" s="27"/>
      <c r="I117" s="27"/>
      <c r="J117" s="27"/>
    </row>
    <row r="118" spans="1:10">
      <c r="A118" s="27"/>
      <c r="B118" s="27"/>
      <c r="C118" s="27"/>
      <c r="D118" s="27"/>
      <c r="E118" s="27"/>
      <c r="F118" s="27"/>
      <c r="G118" s="27"/>
      <c r="H118" s="27"/>
      <c r="I118" s="27"/>
      <c r="J118" s="27"/>
    </row>
    <row r="119" spans="1:10">
      <c r="A119" s="27"/>
      <c r="B119" s="27"/>
      <c r="C119" s="27"/>
      <c r="D119" s="27"/>
      <c r="E119" s="27"/>
      <c r="F119" s="27"/>
      <c r="G119" s="27"/>
      <c r="H119" s="27"/>
      <c r="I119" s="27"/>
      <c r="J119" s="27"/>
    </row>
    <row r="120" spans="1:10">
      <c r="A120" s="27"/>
      <c r="B120" s="27"/>
      <c r="C120" s="27"/>
      <c r="D120" s="27"/>
      <c r="E120" s="27"/>
      <c r="F120" s="27"/>
      <c r="G120" s="27"/>
      <c r="H120" s="27"/>
      <c r="I120" s="27"/>
      <c r="J120" s="27"/>
    </row>
    <row r="121" spans="1:10">
      <c r="A121" s="27"/>
      <c r="B121" s="27"/>
      <c r="C121" s="27"/>
      <c r="D121" s="27"/>
      <c r="E121" s="27"/>
      <c r="F121" s="27"/>
      <c r="G121" s="27"/>
      <c r="H121" s="27"/>
      <c r="I121" s="27"/>
      <c r="J121" s="27"/>
    </row>
    <row r="122" spans="1:10">
      <c r="A122" s="27"/>
      <c r="B122" s="27"/>
      <c r="C122" s="27"/>
      <c r="D122" s="27"/>
      <c r="E122" s="27"/>
      <c r="F122" s="27"/>
      <c r="G122" s="27"/>
      <c r="H122" s="27"/>
      <c r="I122" s="27"/>
      <c r="J122" s="27"/>
    </row>
    <row r="123" spans="1:10">
      <c r="A123" s="27"/>
      <c r="B123" s="27"/>
      <c r="C123" s="27"/>
      <c r="D123" s="27"/>
      <c r="E123" s="27"/>
      <c r="F123" s="27"/>
      <c r="G123" s="27"/>
      <c r="H123" s="27"/>
      <c r="I123" s="27"/>
      <c r="J123" s="27"/>
    </row>
    <row r="124" spans="1:10">
      <c r="A124" s="27"/>
      <c r="B124" s="27"/>
      <c r="C124" s="27"/>
      <c r="D124" s="27"/>
      <c r="E124" s="27"/>
      <c r="F124" s="27"/>
      <c r="G124" s="27"/>
      <c r="H124" s="27"/>
      <c r="I124" s="27"/>
      <c r="J124" s="27"/>
    </row>
    <row r="125" spans="1:10">
      <c r="A125" s="27"/>
      <c r="B125" s="27"/>
      <c r="C125" s="27"/>
      <c r="D125" s="27"/>
      <c r="E125" s="27"/>
      <c r="F125" s="27"/>
      <c r="G125" s="27"/>
      <c r="H125" s="27"/>
      <c r="I125" s="27"/>
      <c r="J125" s="27"/>
    </row>
    <row r="126" spans="1:10">
      <c r="A126" s="27"/>
      <c r="B126" s="27"/>
      <c r="C126" s="27"/>
      <c r="D126" s="27"/>
      <c r="E126" s="27"/>
      <c r="F126" s="27"/>
      <c r="G126" s="27"/>
      <c r="H126" s="27"/>
      <c r="I126" s="27"/>
      <c r="J126" s="27"/>
    </row>
    <row r="127" spans="1:10">
      <c r="A127" s="27"/>
      <c r="B127" s="27"/>
      <c r="C127" s="27"/>
      <c r="D127" s="27"/>
      <c r="E127" s="27"/>
      <c r="F127" s="27"/>
      <c r="G127" s="27"/>
      <c r="H127" s="27"/>
      <c r="I127" s="27"/>
      <c r="J127" s="27"/>
    </row>
    <row r="128" spans="1:10">
      <c r="A128" s="27"/>
      <c r="B128" s="27"/>
      <c r="C128" s="27"/>
      <c r="D128" s="27"/>
      <c r="E128" s="27"/>
      <c r="F128" s="27"/>
      <c r="G128" s="27"/>
      <c r="H128" s="27"/>
      <c r="I128" s="27"/>
      <c r="J128" s="27"/>
    </row>
    <row r="129" spans="1:10">
      <c r="A129" s="27"/>
      <c r="B129" s="27"/>
      <c r="C129" s="27"/>
      <c r="D129" s="27"/>
      <c r="E129" s="27"/>
      <c r="F129" s="27"/>
      <c r="G129" s="27"/>
      <c r="H129" s="27"/>
      <c r="I129" s="27"/>
      <c r="J129" s="27"/>
    </row>
    <row r="130" spans="1:10">
      <c r="A130" s="27"/>
      <c r="B130" s="27"/>
      <c r="C130" s="27"/>
      <c r="D130" s="27"/>
      <c r="E130" s="27"/>
      <c r="F130" s="27"/>
      <c r="G130" s="27"/>
      <c r="H130" s="27"/>
      <c r="I130" s="27"/>
      <c r="J130" s="27"/>
    </row>
    <row r="131" spans="1:10">
      <c r="A131" s="27"/>
      <c r="B131" s="27"/>
      <c r="C131" s="27"/>
      <c r="D131" s="27"/>
      <c r="E131" s="27"/>
      <c r="F131" s="27"/>
      <c r="G131" s="27"/>
      <c r="H131" s="27"/>
      <c r="I131" s="27"/>
      <c r="J131" s="27"/>
    </row>
    <row r="132" spans="1:10">
      <c r="A132" s="27"/>
      <c r="B132" s="27"/>
      <c r="C132" s="27"/>
      <c r="D132" s="27"/>
      <c r="E132" s="27"/>
      <c r="F132" s="27"/>
      <c r="G132" s="27"/>
      <c r="H132" s="27"/>
      <c r="I132" s="27"/>
      <c r="J132" s="27"/>
    </row>
    <row r="133" spans="1:10">
      <c r="A133" s="27"/>
      <c r="B133" s="27"/>
      <c r="C133" s="27"/>
      <c r="D133" s="27"/>
      <c r="E133" s="27"/>
      <c r="F133" s="27"/>
      <c r="G133" s="27"/>
      <c r="H133" s="27"/>
      <c r="I133" s="27"/>
      <c r="J133" s="27"/>
    </row>
    <row r="134" spans="1:10">
      <c r="A134" s="27"/>
      <c r="B134" s="27"/>
      <c r="C134" s="27"/>
      <c r="D134" s="27"/>
      <c r="E134" s="27"/>
      <c r="F134" s="27"/>
      <c r="G134" s="27"/>
      <c r="H134" s="27"/>
      <c r="I134" s="27"/>
      <c r="J134" s="27"/>
    </row>
    <row r="135" spans="1:10">
      <c r="A135" s="27"/>
      <c r="B135" s="27"/>
      <c r="C135" s="27"/>
      <c r="D135" s="27"/>
      <c r="E135" s="27"/>
      <c r="F135" s="27"/>
      <c r="G135" s="27"/>
      <c r="H135" s="27"/>
      <c r="I135" s="27"/>
      <c r="J135" s="27"/>
    </row>
    <row r="136" spans="1:10">
      <c r="A136" s="27"/>
      <c r="B136" s="27"/>
      <c r="C136" s="27"/>
      <c r="D136" s="27"/>
      <c r="E136" s="27"/>
      <c r="F136" s="27"/>
      <c r="G136" s="27"/>
      <c r="H136" s="27"/>
      <c r="I136" s="27"/>
      <c r="J136" s="27"/>
    </row>
    <row r="137" spans="1:10">
      <c r="A137" s="27"/>
      <c r="B137" s="27"/>
      <c r="C137" s="27"/>
      <c r="D137" s="27"/>
      <c r="E137" s="27"/>
      <c r="F137" s="27"/>
      <c r="G137" s="27"/>
      <c r="H137" s="27"/>
      <c r="I137" s="27"/>
      <c r="J137" s="27"/>
    </row>
    <row r="138" spans="1:10">
      <c r="A138" s="27"/>
      <c r="B138" s="27"/>
      <c r="C138" s="27"/>
      <c r="D138" s="27"/>
      <c r="E138" s="27"/>
      <c r="F138" s="27"/>
      <c r="G138" s="27"/>
      <c r="H138" s="27"/>
      <c r="I138" s="27"/>
      <c r="J138" s="27"/>
    </row>
    <row r="139" spans="1:10">
      <c r="A139" s="27"/>
      <c r="B139" s="27"/>
      <c r="C139" s="27"/>
      <c r="D139" s="27"/>
      <c r="E139" s="27"/>
      <c r="F139" s="27"/>
      <c r="G139" s="27"/>
      <c r="H139" s="27"/>
      <c r="I139" s="27"/>
      <c r="J139" s="27"/>
    </row>
    <row r="140" spans="1:10">
      <c r="A140" s="27"/>
      <c r="B140" s="27"/>
      <c r="C140" s="27"/>
      <c r="D140" s="27"/>
      <c r="E140" s="27"/>
      <c r="F140" s="27"/>
      <c r="G140" s="27"/>
      <c r="H140" s="27"/>
      <c r="I140" s="27"/>
      <c r="J140" s="27"/>
    </row>
    <row r="141" spans="1:10">
      <c r="A141" s="27"/>
      <c r="B141" s="27"/>
      <c r="C141" s="27"/>
      <c r="D141" s="27"/>
      <c r="E141" s="27"/>
      <c r="F141" s="27"/>
      <c r="G141" s="27"/>
      <c r="H141" s="27"/>
      <c r="I141" s="27"/>
      <c r="J141" s="27"/>
    </row>
    <row r="142" spans="1:10">
      <c r="A142" s="27"/>
      <c r="B142" s="27"/>
      <c r="C142" s="27"/>
      <c r="D142" s="27"/>
      <c r="E142" s="27"/>
      <c r="F142" s="27"/>
      <c r="G142" s="27"/>
      <c r="H142" s="27"/>
      <c r="I142" s="27"/>
      <c r="J142" s="27"/>
    </row>
    <row r="143" spans="1:10">
      <c r="A143" s="27"/>
      <c r="B143" s="27"/>
      <c r="C143" s="27"/>
      <c r="D143" s="27"/>
      <c r="E143" s="27"/>
      <c r="F143" s="27"/>
      <c r="G143" s="27"/>
      <c r="H143" s="27"/>
      <c r="I143" s="27"/>
      <c r="J143" s="27"/>
    </row>
    <row r="144" spans="1:10">
      <c r="A144" s="27"/>
      <c r="B144" s="27"/>
      <c r="C144" s="27"/>
      <c r="D144" s="27"/>
      <c r="E144" s="27"/>
      <c r="F144" s="27"/>
      <c r="G144" s="27"/>
      <c r="H144" s="27"/>
      <c r="I144" s="27"/>
      <c r="J144" s="27"/>
    </row>
    <row r="145" spans="1:10">
      <c r="A145" s="27"/>
      <c r="B145" s="27"/>
      <c r="C145" s="27"/>
      <c r="D145" s="27"/>
      <c r="E145" s="27"/>
      <c r="F145" s="27"/>
      <c r="G145" s="27"/>
      <c r="H145" s="27"/>
      <c r="I145" s="27"/>
      <c r="J145" s="27"/>
    </row>
    <row r="146" spans="1:10">
      <c r="A146" s="27"/>
      <c r="B146" s="27"/>
      <c r="C146" s="27"/>
      <c r="D146" s="27"/>
      <c r="E146" s="27"/>
      <c r="F146" s="27"/>
      <c r="G146" s="27"/>
      <c r="H146" s="27"/>
      <c r="I146" s="27"/>
      <c r="J146" s="27"/>
    </row>
    <row r="147" spans="1:10">
      <c r="A147" s="27"/>
      <c r="B147" s="27"/>
      <c r="C147" s="27"/>
      <c r="D147" s="27"/>
      <c r="E147" s="27"/>
      <c r="F147" s="27"/>
      <c r="G147" s="27"/>
      <c r="H147" s="27"/>
      <c r="I147" s="27"/>
      <c r="J147" s="27"/>
    </row>
    <row r="148" spans="1:10">
      <c r="A148" s="27"/>
      <c r="B148" s="27"/>
      <c r="C148" s="27"/>
      <c r="D148" s="27"/>
      <c r="E148" s="27"/>
      <c r="F148" s="27"/>
      <c r="G148" s="27"/>
      <c r="H148" s="27"/>
      <c r="I148" s="27"/>
      <c r="J148" s="27"/>
    </row>
    <row r="149" spans="1:10">
      <c r="A149" s="27"/>
      <c r="B149" s="27"/>
      <c r="C149" s="27"/>
      <c r="D149" s="27"/>
      <c r="E149" s="27"/>
      <c r="F149" s="27"/>
      <c r="G149" s="27"/>
      <c r="H149" s="27"/>
      <c r="I149" s="27"/>
      <c r="J149" s="27"/>
    </row>
    <row r="150" spans="1:10">
      <c r="A150" s="27"/>
      <c r="B150" s="27"/>
      <c r="C150" s="27"/>
      <c r="D150" s="27"/>
      <c r="E150" s="27"/>
      <c r="F150" s="27"/>
      <c r="G150" s="27"/>
      <c r="H150" s="27"/>
      <c r="I150" s="27"/>
      <c r="J150" s="27"/>
    </row>
    <row r="151" spans="1:10">
      <c r="A151" s="27"/>
      <c r="B151" s="27"/>
      <c r="C151" s="27"/>
      <c r="D151" s="27"/>
      <c r="E151" s="27"/>
      <c r="F151" s="27"/>
      <c r="G151" s="27"/>
      <c r="H151" s="27"/>
      <c r="I151" s="27"/>
      <c r="J151" s="27"/>
    </row>
    <row r="152" spans="1:10">
      <c r="A152" s="27"/>
      <c r="B152" s="27"/>
      <c r="C152" s="27"/>
      <c r="D152" s="27"/>
      <c r="E152" s="27"/>
      <c r="F152" s="27"/>
      <c r="G152" s="27"/>
      <c r="H152" s="27"/>
      <c r="I152" s="27"/>
      <c r="J152" s="27"/>
    </row>
    <row r="153" spans="1:10">
      <c r="A153" s="27"/>
      <c r="B153" s="27"/>
      <c r="C153" s="27"/>
      <c r="D153" s="27"/>
      <c r="E153" s="27"/>
      <c r="F153" s="27"/>
      <c r="G153" s="27"/>
      <c r="H153" s="27"/>
      <c r="I153" s="27"/>
      <c r="J153" s="27"/>
    </row>
    <row r="154" spans="1:10">
      <c r="A154" s="27"/>
      <c r="B154" s="27"/>
      <c r="C154" s="27"/>
      <c r="D154" s="27"/>
      <c r="E154" s="27"/>
      <c r="F154" s="27"/>
      <c r="G154" s="27"/>
      <c r="H154" s="27"/>
      <c r="I154" s="27"/>
      <c r="J154" s="27"/>
    </row>
    <row r="155" spans="1:10">
      <c r="A155" s="27"/>
      <c r="B155" s="27"/>
      <c r="C155" s="27"/>
      <c r="D155" s="27"/>
      <c r="E155" s="27"/>
      <c r="F155" s="27"/>
      <c r="G155" s="27"/>
      <c r="H155" s="27"/>
      <c r="I155" s="27"/>
      <c r="J155" s="27"/>
    </row>
    <row r="156" spans="1:10">
      <c r="A156" s="27"/>
      <c r="B156" s="27"/>
      <c r="C156" s="27"/>
      <c r="D156" s="27"/>
      <c r="E156" s="27"/>
      <c r="F156" s="27"/>
      <c r="G156" s="27"/>
      <c r="H156" s="27"/>
      <c r="I156" s="27"/>
      <c r="J156" s="27"/>
    </row>
    <row r="157" spans="1:10">
      <c r="A157" s="27"/>
      <c r="B157" s="27"/>
      <c r="C157" s="27"/>
      <c r="D157" s="27"/>
      <c r="E157" s="27"/>
      <c r="F157" s="27"/>
      <c r="G157" s="27"/>
      <c r="H157" s="27"/>
      <c r="I157" s="27"/>
      <c r="J157" s="27"/>
    </row>
    <row r="158" spans="1:10">
      <c r="A158" s="27"/>
      <c r="B158" s="27"/>
      <c r="C158" s="27"/>
      <c r="D158" s="27"/>
      <c r="E158" s="27"/>
      <c r="F158" s="27"/>
      <c r="G158" s="27"/>
      <c r="H158" s="27"/>
      <c r="I158" s="27"/>
      <c r="J158" s="27"/>
    </row>
    <row r="159" spans="1:10">
      <c r="A159" s="27"/>
      <c r="B159" s="27"/>
      <c r="C159" s="27"/>
      <c r="D159" s="27"/>
      <c r="E159" s="27"/>
      <c r="F159" s="27"/>
      <c r="G159" s="27"/>
      <c r="H159" s="27"/>
      <c r="I159" s="27"/>
      <c r="J159" s="27"/>
    </row>
    <row r="160" spans="1:10">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row r="217" spans="1:10">
      <c r="A217" s="27"/>
      <c r="B217" s="27"/>
      <c r="C217" s="27"/>
      <c r="D217" s="27"/>
      <c r="E217" s="27"/>
      <c r="F217" s="27"/>
      <c r="G217" s="27"/>
      <c r="H217" s="27"/>
      <c r="I217" s="27"/>
      <c r="J217" s="27"/>
    </row>
    <row r="218" spans="1:10">
      <c r="A218" s="27"/>
      <c r="B218" s="27"/>
      <c r="C218" s="27"/>
      <c r="D218" s="27"/>
      <c r="E218" s="27"/>
      <c r="F218" s="27"/>
      <c r="G218" s="27"/>
      <c r="H218" s="27"/>
      <c r="I218" s="27"/>
      <c r="J218" s="27"/>
    </row>
    <row r="219" spans="1:10">
      <c r="A219" s="27"/>
      <c r="B219" s="27"/>
      <c r="C219" s="27"/>
      <c r="D219" s="27"/>
      <c r="E219" s="27"/>
      <c r="F219" s="27"/>
      <c r="G219" s="27"/>
      <c r="H219" s="27"/>
      <c r="I219" s="27"/>
      <c r="J219" s="27"/>
    </row>
    <row r="220" spans="1:10">
      <c r="A220" s="27"/>
      <c r="B220" s="27"/>
      <c r="C220" s="27"/>
      <c r="D220" s="27"/>
      <c r="E220" s="27"/>
      <c r="F220" s="27"/>
      <c r="G220" s="27"/>
      <c r="H220" s="27"/>
      <c r="I220" s="27"/>
      <c r="J220" s="27"/>
    </row>
  </sheetData>
  <mergeCells count="83">
    <mergeCell ref="I27:I34"/>
    <mergeCell ref="J27:J34"/>
    <mergeCell ref="A27:A42"/>
    <mergeCell ref="B27:B42"/>
    <mergeCell ref="C27:C42"/>
    <mergeCell ref="D27:D42"/>
    <mergeCell ref="F27:F42"/>
    <mergeCell ref="E27:E34"/>
    <mergeCell ref="J35:J42"/>
    <mergeCell ref="A43:A50"/>
    <mergeCell ref="B43:B50"/>
    <mergeCell ref="C43:C50"/>
    <mergeCell ref="D43:D50"/>
    <mergeCell ref="E43:E50"/>
    <mergeCell ref="I43:I50"/>
    <mergeCell ref="J43:J50"/>
    <mergeCell ref="E35:E42"/>
    <mergeCell ref="I35:I42"/>
    <mergeCell ref="F43:F50"/>
    <mergeCell ref="J21:J22"/>
    <mergeCell ref="A23:A26"/>
    <mergeCell ref="B23:B26"/>
    <mergeCell ref="C23:C26"/>
    <mergeCell ref="D23:D26"/>
    <mergeCell ref="E23:E26"/>
    <mergeCell ref="I23:I26"/>
    <mergeCell ref="J23:J26"/>
    <mergeCell ref="A21:A22"/>
    <mergeCell ref="B21:B22"/>
    <mergeCell ref="C21:C22"/>
    <mergeCell ref="D21:D22"/>
    <mergeCell ref="E21:E22"/>
    <mergeCell ref="I21:I22"/>
    <mergeCell ref="F21:F22"/>
    <mergeCell ref="F23:F26"/>
    <mergeCell ref="J17:J18"/>
    <mergeCell ref="A19:A20"/>
    <mergeCell ref="B19:B20"/>
    <mergeCell ref="C19:C20"/>
    <mergeCell ref="D19:D20"/>
    <mergeCell ref="E19:E20"/>
    <mergeCell ref="I19:I20"/>
    <mergeCell ref="J19:J20"/>
    <mergeCell ref="A17:A18"/>
    <mergeCell ref="B17:B18"/>
    <mergeCell ref="C17:C18"/>
    <mergeCell ref="D17:D18"/>
    <mergeCell ref="E17:E18"/>
    <mergeCell ref="I17:I18"/>
    <mergeCell ref="F17:F18"/>
    <mergeCell ref="F19:F20"/>
    <mergeCell ref="J11:J14"/>
    <mergeCell ref="A15:A16"/>
    <mergeCell ref="B15:B16"/>
    <mergeCell ref="C15:C16"/>
    <mergeCell ref="D15:D16"/>
    <mergeCell ref="E15:E16"/>
    <mergeCell ref="I15:I16"/>
    <mergeCell ref="J15:J16"/>
    <mergeCell ref="A11:A14"/>
    <mergeCell ref="B11:B14"/>
    <mergeCell ref="C11:C14"/>
    <mergeCell ref="D11:D14"/>
    <mergeCell ref="E11:E14"/>
    <mergeCell ref="I11:I14"/>
    <mergeCell ref="F11:F14"/>
    <mergeCell ref="F15:F16"/>
    <mergeCell ref="J2:J4"/>
    <mergeCell ref="A6:A10"/>
    <mergeCell ref="B6:B10"/>
    <mergeCell ref="C6:C10"/>
    <mergeCell ref="D6:D10"/>
    <mergeCell ref="E6:E10"/>
    <mergeCell ref="I6:I10"/>
    <mergeCell ref="J6:J10"/>
    <mergeCell ref="A2:A4"/>
    <mergeCell ref="B2:B4"/>
    <mergeCell ref="C2:C4"/>
    <mergeCell ref="D2:D4"/>
    <mergeCell ref="E2:E4"/>
    <mergeCell ref="I2:I4"/>
    <mergeCell ref="F2:F4"/>
    <mergeCell ref="F6:F10"/>
  </mergeCells>
  <phoneticPr fontId="1" type="noConversion"/>
  <conditionalFormatting sqref="A1:E26 A43:E50 E35:E42 G35:K50 G1:K26">
    <cfRule type="containsText" dxfId="35" priority="5" operator="containsText" text="TBD">
      <formula>NOT(ISERROR(SEARCH("TBD",A1)))</formula>
    </cfRule>
  </conditionalFormatting>
  <conditionalFormatting sqref="A27:E27 B28:E34 G27:K34">
    <cfRule type="containsText" dxfId="34" priority="4" operator="containsText" text="TBD">
      <formula>NOT(ISERROR(SEARCH("TBD",A27)))</formula>
    </cfRule>
  </conditionalFormatting>
  <conditionalFormatting sqref="F2:F26 F43:F50">
    <cfRule type="containsText" dxfId="33" priority="3" operator="containsText" text="TBD">
      <formula>NOT(ISERROR(SEARCH("TBD",F2)))</formula>
    </cfRule>
  </conditionalFormatting>
  <conditionalFormatting sqref="F27">
    <cfRule type="containsText" dxfId="32" priority="2" operator="containsText" text="TBD">
      <formula>NOT(ISERROR(SEARCH("TBD",F27)))</formula>
    </cfRule>
  </conditionalFormatting>
  <conditionalFormatting sqref="F1">
    <cfRule type="containsText" dxfId="31" priority="1" operator="containsText" text="TBD">
      <formula>NOT(ISERROR(SEARCH("TBD",F1)))</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DF70-132F-4F82-9E1F-34735E113B71}">
  <dimension ref="A1:K220"/>
  <sheetViews>
    <sheetView topLeftCell="C1" zoomScale="65" zoomScaleNormal="65" workbookViewId="0">
      <selection activeCell="G6" sqref="A1:K42"/>
    </sheetView>
  </sheetViews>
  <sheetFormatPr defaultColWidth="52.9140625" defaultRowHeight="17"/>
  <cols>
    <col min="1" max="1" width="15.9140625" customWidth="1"/>
    <col min="2" max="2" width="24.83203125" bestFit="1" customWidth="1"/>
    <col min="3" max="3" width="52.75" bestFit="1" customWidth="1"/>
    <col min="4" max="4" width="52.58203125" bestFit="1" customWidth="1"/>
    <col min="5" max="5" width="22.6640625" bestFit="1" customWidth="1"/>
    <col min="6" max="6" width="15.9140625" customWidth="1"/>
    <col min="8" max="8" width="52.83203125" bestFit="1" customWidth="1"/>
    <col min="9" max="9" width="48.58203125" bestFit="1" customWidth="1"/>
    <col min="10" max="10" width="9.33203125" bestFit="1" customWidth="1"/>
    <col min="11" max="11" width="8.6640625" bestFit="1" customWidth="1"/>
  </cols>
  <sheetData>
    <row r="1" spans="1:11" ht="17.5" thickBot="1">
      <c r="A1" s="24" t="s">
        <v>418</v>
      </c>
      <c r="B1" s="1" t="s">
        <v>11</v>
      </c>
      <c r="C1" s="1" t="s">
        <v>12</v>
      </c>
      <c r="D1" s="1" t="s">
        <v>13</v>
      </c>
      <c r="E1" s="22" t="s">
        <v>408</v>
      </c>
      <c r="F1" s="22" t="s">
        <v>422</v>
      </c>
      <c r="G1" s="22" t="s">
        <v>417</v>
      </c>
      <c r="H1" s="22" t="s">
        <v>407</v>
      </c>
      <c r="I1" s="1" t="s">
        <v>14</v>
      </c>
      <c r="J1" s="1" t="s">
        <v>15</v>
      </c>
      <c r="K1" s="1" t="s">
        <v>16</v>
      </c>
    </row>
    <row r="2" spans="1:11" ht="68.5" thickBot="1">
      <c r="A2" s="47" t="s">
        <v>125</v>
      </c>
      <c r="B2" s="47" t="s">
        <v>18</v>
      </c>
      <c r="C2" s="44" t="s">
        <v>126</v>
      </c>
      <c r="D2" s="44" t="s">
        <v>19</v>
      </c>
      <c r="E2" s="44" t="s">
        <v>392</v>
      </c>
      <c r="F2" s="47" t="s">
        <v>434</v>
      </c>
      <c r="G2" s="3" t="s">
        <v>127</v>
      </c>
      <c r="H2" s="3" t="s">
        <v>359</v>
      </c>
      <c r="I2" s="44" t="s">
        <v>21</v>
      </c>
      <c r="J2" s="8" t="s">
        <v>128</v>
      </c>
      <c r="K2" s="9"/>
    </row>
    <row r="3" spans="1:11" ht="136.5" thickBot="1">
      <c r="A3" s="49"/>
      <c r="B3" s="49"/>
      <c r="C3" s="46"/>
      <c r="D3" s="46"/>
      <c r="E3" s="46"/>
      <c r="F3" s="49"/>
      <c r="G3" s="3" t="s">
        <v>25</v>
      </c>
      <c r="H3" s="3" t="s">
        <v>26</v>
      </c>
      <c r="I3" s="46"/>
      <c r="J3" s="8" t="s">
        <v>128</v>
      </c>
      <c r="K3" s="9"/>
    </row>
    <row r="4" spans="1:11" ht="136.5" thickBot="1">
      <c r="A4" s="2" t="s">
        <v>129</v>
      </c>
      <c r="B4" s="8" t="s">
        <v>28</v>
      </c>
      <c r="C4" s="3" t="s">
        <v>130</v>
      </c>
      <c r="D4" s="3" t="s">
        <v>30</v>
      </c>
      <c r="E4" s="3" t="s">
        <v>393</v>
      </c>
      <c r="F4" s="2" t="s">
        <v>441</v>
      </c>
      <c r="G4" s="3" t="s">
        <v>131</v>
      </c>
      <c r="H4" s="3" t="s">
        <v>132</v>
      </c>
      <c r="I4" s="3" t="s">
        <v>33</v>
      </c>
      <c r="J4" s="8" t="s">
        <v>128</v>
      </c>
      <c r="K4" s="9"/>
    </row>
    <row r="5" spans="1:11" ht="136.5" thickBot="1">
      <c r="A5" s="47" t="s">
        <v>133</v>
      </c>
      <c r="B5" s="47" t="s">
        <v>134</v>
      </c>
      <c r="C5" s="44" t="s">
        <v>135</v>
      </c>
      <c r="D5" s="44" t="s">
        <v>38</v>
      </c>
      <c r="E5" s="44" t="s">
        <v>393</v>
      </c>
      <c r="F5" s="47" t="s">
        <v>442</v>
      </c>
      <c r="G5" s="3" t="s">
        <v>136</v>
      </c>
      <c r="H5" s="3" t="s">
        <v>137</v>
      </c>
      <c r="I5" s="44" t="s">
        <v>138</v>
      </c>
      <c r="J5" s="8" t="s">
        <v>128</v>
      </c>
      <c r="K5" s="9"/>
    </row>
    <row r="6" spans="1:11" ht="68.5" thickBot="1">
      <c r="A6" s="48"/>
      <c r="B6" s="48"/>
      <c r="C6" s="45"/>
      <c r="D6" s="45"/>
      <c r="E6" s="45"/>
      <c r="F6" s="48"/>
      <c r="G6" s="3" t="s">
        <v>139</v>
      </c>
      <c r="H6" s="3" t="s">
        <v>140</v>
      </c>
      <c r="I6" s="45"/>
      <c r="J6" s="7"/>
      <c r="K6" s="9"/>
    </row>
    <row r="7" spans="1:11" ht="51.5" thickBot="1">
      <c r="A7" s="49"/>
      <c r="B7" s="49"/>
      <c r="C7" s="46"/>
      <c r="D7" s="46"/>
      <c r="E7" s="46"/>
      <c r="F7" s="49"/>
      <c r="G7" s="3" t="s">
        <v>48</v>
      </c>
      <c r="H7" s="3" t="s">
        <v>141</v>
      </c>
      <c r="I7" s="46"/>
      <c r="J7" s="8" t="s">
        <v>128</v>
      </c>
      <c r="K7" s="9"/>
    </row>
    <row r="8" spans="1:11" ht="238.5" thickBot="1">
      <c r="A8" s="2" t="s">
        <v>142</v>
      </c>
      <c r="B8" s="8" t="s">
        <v>143</v>
      </c>
      <c r="C8" s="3" t="s">
        <v>144</v>
      </c>
      <c r="D8" s="3" t="s">
        <v>38</v>
      </c>
      <c r="E8" s="3" t="s">
        <v>393</v>
      </c>
      <c r="F8" s="2" t="s">
        <v>443</v>
      </c>
      <c r="G8" s="3" t="s">
        <v>145</v>
      </c>
      <c r="H8" s="3" t="s">
        <v>137</v>
      </c>
      <c r="I8" s="3" t="s">
        <v>138</v>
      </c>
      <c r="J8" s="8" t="s">
        <v>128</v>
      </c>
      <c r="K8" s="9"/>
    </row>
    <row r="9" spans="1:11" ht="136.5" thickBot="1">
      <c r="A9" s="47" t="s">
        <v>146</v>
      </c>
      <c r="B9" s="47" t="s">
        <v>95</v>
      </c>
      <c r="C9" s="44" t="s">
        <v>147</v>
      </c>
      <c r="D9" s="44" t="s">
        <v>97</v>
      </c>
      <c r="E9" s="44" t="s">
        <v>393</v>
      </c>
      <c r="F9" s="47" t="s">
        <v>444</v>
      </c>
      <c r="G9" s="3" t="s">
        <v>148</v>
      </c>
      <c r="H9" s="3" t="s">
        <v>149</v>
      </c>
      <c r="I9" s="44" t="s">
        <v>100</v>
      </c>
      <c r="J9" s="8" t="s">
        <v>128</v>
      </c>
      <c r="K9" s="9"/>
    </row>
    <row r="10" spans="1:11" ht="85.5" thickBot="1">
      <c r="A10" s="48"/>
      <c r="B10" s="48"/>
      <c r="C10" s="45"/>
      <c r="D10" s="45"/>
      <c r="E10" s="45"/>
      <c r="F10" s="48"/>
      <c r="G10" s="3" t="s">
        <v>150</v>
      </c>
      <c r="H10" s="3" t="s">
        <v>151</v>
      </c>
      <c r="I10" s="45"/>
      <c r="J10" s="8" t="s">
        <v>128</v>
      </c>
      <c r="K10" s="9"/>
    </row>
    <row r="11" spans="1:11" ht="17.5" thickBot="1">
      <c r="A11" s="48"/>
      <c r="B11" s="48"/>
      <c r="C11" s="45"/>
      <c r="D11" s="45"/>
      <c r="E11" s="45"/>
      <c r="F11" s="48"/>
      <c r="G11" s="3" t="s">
        <v>152</v>
      </c>
      <c r="H11" s="3" t="s">
        <v>108</v>
      </c>
      <c r="I11" s="45"/>
      <c r="J11" s="8" t="s">
        <v>128</v>
      </c>
      <c r="K11" s="9"/>
    </row>
    <row r="12" spans="1:11" ht="85.5" thickBot="1">
      <c r="A12" s="48"/>
      <c r="B12" s="48"/>
      <c r="C12" s="45"/>
      <c r="D12" s="45"/>
      <c r="E12" s="45"/>
      <c r="F12" s="48"/>
      <c r="G12" s="3" t="s">
        <v>153</v>
      </c>
      <c r="H12" s="3" t="s">
        <v>106</v>
      </c>
      <c r="I12" s="45"/>
      <c r="J12" s="8" t="s">
        <v>128</v>
      </c>
      <c r="K12" s="9"/>
    </row>
    <row r="13" spans="1:11" ht="34.5" thickBot="1">
      <c r="A13" s="48"/>
      <c r="B13" s="48"/>
      <c r="C13" s="45"/>
      <c r="D13" s="45"/>
      <c r="E13" s="45"/>
      <c r="F13" s="48"/>
      <c r="G13" s="3" t="s">
        <v>154</v>
      </c>
      <c r="H13" s="3" t="s">
        <v>155</v>
      </c>
      <c r="I13" s="45"/>
      <c r="J13" s="8" t="s">
        <v>128</v>
      </c>
      <c r="K13" s="9"/>
    </row>
    <row r="14" spans="1:11" ht="119.5" thickBot="1">
      <c r="A14" s="48"/>
      <c r="B14" s="48"/>
      <c r="C14" s="45"/>
      <c r="D14" s="45"/>
      <c r="E14" s="45"/>
      <c r="F14" s="48"/>
      <c r="G14" s="3" t="s">
        <v>156</v>
      </c>
      <c r="H14" s="3" t="s">
        <v>157</v>
      </c>
      <c r="I14" s="45"/>
      <c r="J14" s="8" t="s">
        <v>128</v>
      </c>
      <c r="K14" s="9"/>
    </row>
    <row r="15" spans="1:11" ht="51.5" thickBot="1">
      <c r="A15" s="49"/>
      <c r="B15" s="49"/>
      <c r="C15" s="46"/>
      <c r="D15" s="46"/>
      <c r="E15" s="46"/>
      <c r="F15" s="49"/>
      <c r="G15" s="3" t="s">
        <v>48</v>
      </c>
      <c r="H15" s="3" t="s">
        <v>141</v>
      </c>
      <c r="I15" s="46"/>
      <c r="J15" s="8" t="s">
        <v>128</v>
      </c>
      <c r="K15" s="9"/>
    </row>
    <row r="16" spans="1:11" ht="17.5" thickBot="1">
      <c r="A16" s="47" t="s">
        <v>158</v>
      </c>
      <c r="B16" s="47" t="s">
        <v>117</v>
      </c>
      <c r="C16" s="44" t="s">
        <v>118</v>
      </c>
      <c r="D16" s="44" t="s">
        <v>38</v>
      </c>
      <c r="E16" s="44" t="s">
        <v>393</v>
      </c>
      <c r="F16" s="47" t="s">
        <v>445</v>
      </c>
      <c r="G16" s="3" t="s">
        <v>159</v>
      </c>
      <c r="H16" s="3" t="s">
        <v>160</v>
      </c>
      <c r="I16" s="44" t="s">
        <v>100</v>
      </c>
      <c r="J16" s="8" t="s">
        <v>128</v>
      </c>
      <c r="K16" s="9"/>
    </row>
    <row r="17" spans="1:11" ht="136.5" thickBot="1">
      <c r="A17" s="48"/>
      <c r="B17" s="48"/>
      <c r="C17" s="45"/>
      <c r="D17" s="45"/>
      <c r="E17" s="45"/>
      <c r="F17" s="48"/>
      <c r="G17" s="3" t="s">
        <v>161</v>
      </c>
      <c r="H17" s="3" t="s">
        <v>149</v>
      </c>
      <c r="I17" s="45"/>
      <c r="J17" s="8" t="s">
        <v>128</v>
      </c>
      <c r="K17" s="9"/>
    </row>
    <row r="18" spans="1:11" ht="153.5" thickBot="1">
      <c r="A18" s="48"/>
      <c r="B18" s="48"/>
      <c r="C18" s="45"/>
      <c r="D18" s="45"/>
      <c r="E18" s="45"/>
      <c r="F18" s="48"/>
      <c r="G18" s="3" t="s">
        <v>162</v>
      </c>
      <c r="H18" s="3" t="s">
        <v>157</v>
      </c>
      <c r="I18" s="45"/>
      <c r="J18" s="8" t="s">
        <v>128</v>
      </c>
      <c r="K18" s="9"/>
    </row>
    <row r="19" spans="1:11" ht="51.5" thickBot="1">
      <c r="A19" s="49"/>
      <c r="B19" s="49"/>
      <c r="C19" s="46"/>
      <c r="D19" s="46"/>
      <c r="E19" s="46"/>
      <c r="F19" s="49"/>
      <c r="G19" s="3" t="s">
        <v>48</v>
      </c>
      <c r="H19" s="3" t="s">
        <v>141</v>
      </c>
      <c r="I19" s="46"/>
      <c r="J19" s="8" t="s">
        <v>128</v>
      </c>
      <c r="K19" s="9"/>
    </row>
    <row r="20" spans="1:11">
      <c r="A20" s="27"/>
      <c r="B20" s="27"/>
      <c r="C20" s="27"/>
      <c r="D20" s="27"/>
      <c r="E20" s="27"/>
      <c r="F20" s="27"/>
      <c r="G20" s="27"/>
      <c r="H20" s="27"/>
      <c r="I20" s="27"/>
      <c r="J20" s="27"/>
    </row>
    <row r="21" spans="1:11">
      <c r="A21" s="27"/>
      <c r="B21" s="27"/>
      <c r="C21" s="27"/>
      <c r="D21" s="27"/>
      <c r="E21" s="27"/>
      <c r="F21" s="27"/>
      <c r="G21" s="27"/>
      <c r="H21" s="27"/>
      <c r="I21" s="27"/>
      <c r="J21" s="27"/>
    </row>
    <row r="22" spans="1:11">
      <c r="A22" s="27"/>
      <c r="B22" s="27"/>
      <c r="C22" s="27"/>
      <c r="D22" s="27"/>
      <c r="E22" s="27"/>
      <c r="F22" s="27"/>
      <c r="G22" s="27"/>
      <c r="H22" s="27"/>
      <c r="I22" s="27"/>
      <c r="J22" s="27"/>
    </row>
    <row r="23" spans="1:11">
      <c r="A23" s="27"/>
      <c r="B23" s="27"/>
      <c r="C23" s="27"/>
      <c r="D23" s="27"/>
      <c r="E23" s="27"/>
      <c r="F23" s="27"/>
      <c r="G23" s="27"/>
      <c r="H23" s="27"/>
      <c r="I23" s="27"/>
      <c r="J23" s="27"/>
    </row>
    <row r="24" spans="1:11">
      <c r="A24" s="27"/>
      <c r="B24" s="27"/>
      <c r="C24" s="27"/>
      <c r="D24" s="27"/>
      <c r="E24" s="27"/>
      <c r="F24" s="27"/>
      <c r="G24" s="27"/>
      <c r="H24" s="27"/>
      <c r="I24" s="27"/>
      <c r="J24" s="27"/>
    </row>
    <row r="25" spans="1:11">
      <c r="A25" s="27"/>
      <c r="B25" s="27"/>
      <c r="C25" s="27"/>
      <c r="D25" s="27"/>
      <c r="E25" s="27"/>
      <c r="F25" s="27"/>
      <c r="G25" s="27"/>
      <c r="H25" s="27"/>
      <c r="I25" s="27"/>
      <c r="J25" s="27"/>
    </row>
    <row r="26" spans="1:11">
      <c r="A26" s="27"/>
      <c r="B26" s="27"/>
      <c r="C26" s="27"/>
      <c r="D26" s="27"/>
      <c r="E26" s="27"/>
      <c r="F26" s="27"/>
      <c r="G26" s="27"/>
      <c r="H26" s="27"/>
      <c r="I26" s="27"/>
      <c r="J26" s="27"/>
    </row>
    <row r="27" spans="1:11">
      <c r="A27" s="27"/>
      <c r="B27" s="27"/>
      <c r="C27" s="27"/>
      <c r="D27" s="27"/>
      <c r="E27" s="27"/>
      <c r="F27" s="27"/>
      <c r="G27" s="27"/>
      <c r="H27" s="27"/>
      <c r="I27" s="27"/>
      <c r="J27" s="27"/>
    </row>
    <row r="28" spans="1:11">
      <c r="A28" s="27"/>
      <c r="B28" s="27"/>
      <c r="C28" s="27"/>
      <c r="D28" s="27"/>
      <c r="E28" s="27"/>
      <c r="F28" s="27"/>
      <c r="G28" s="27"/>
      <c r="H28" s="27"/>
      <c r="I28" s="27"/>
      <c r="J28" s="27"/>
    </row>
    <row r="29" spans="1:11">
      <c r="A29" s="27"/>
      <c r="B29" s="27"/>
      <c r="C29" s="27"/>
      <c r="D29" s="27"/>
      <c r="E29" s="27"/>
      <c r="F29" s="27"/>
      <c r="G29" s="27"/>
      <c r="H29" s="27"/>
      <c r="I29" s="27"/>
      <c r="J29" s="27"/>
    </row>
    <row r="30" spans="1:11">
      <c r="A30" s="27"/>
      <c r="B30" s="27"/>
      <c r="C30" s="27"/>
      <c r="D30" s="27"/>
      <c r="E30" s="27"/>
      <c r="F30" s="27"/>
      <c r="G30" s="27"/>
      <c r="H30" s="27"/>
      <c r="I30" s="27"/>
      <c r="J30" s="27"/>
    </row>
    <row r="31" spans="1:11">
      <c r="A31" s="27"/>
      <c r="B31" s="27"/>
      <c r="C31" s="27"/>
      <c r="D31" s="27"/>
      <c r="E31" s="27"/>
      <c r="F31" s="27"/>
      <c r="G31" s="27"/>
      <c r="H31" s="27"/>
      <c r="I31" s="27"/>
      <c r="J31" s="27"/>
    </row>
    <row r="32" spans="1:11">
      <c r="A32" s="27"/>
      <c r="B32" s="27"/>
      <c r="C32" s="27"/>
      <c r="D32" s="27"/>
      <c r="E32" s="27"/>
      <c r="F32" s="27"/>
      <c r="G32" s="27"/>
      <c r="H32" s="27"/>
      <c r="I32" s="27"/>
      <c r="J32" s="27"/>
    </row>
    <row r="33" spans="1:10">
      <c r="A33" s="27"/>
      <c r="B33" s="27"/>
      <c r="C33" s="27"/>
      <c r="D33" s="27"/>
      <c r="E33" s="27"/>
      <c r="F33" s="27"/>
      <c r="G33" s="27"/>
      <c r="H33" s="27"/>
      <c r="I33" s="27"/>
      <c r="J33" s="27"/>
    </row>
    <row r="34" spans="1:10">
      <c r="A34" s="27"/>
      <c r="B34" s="27"/>
      <c r="C34" s="27"/>
      <c r="D34" s="27"/>
      <c r="E34" s="27"/>
      <c r="F34" s="27"/>
      <c r="G34" s="27"/>
      <c r="H34" s="27"/>
      <c r="I34" s="27"/>
      <c r="J34" s="27"/>
    </row>
    <row r="35" spans="1:10">
      <c r="A35" s="27"/>
      <c r="B35" s="27"/>
      <c r="C35" s="27"/>
      <c r="D35" s="27"/>
      <c r="E35" s="27"/>
      <c r="F35" s="27"/>
      <c r="G35" s="27"/>
      <c r="H35" s="27"/>
      <c r="I35" s="27"/>
      <c r="J35" s="27"/>
    </row>
    <row r="36" spans="1:10">
      <c r="A36" s="27"/>
      <c r="B36" s="27"/>
      <c r="C36" s="27"/>
      <c r="D36" s="27"/>
      <c r="E36" s="27"/>
      <c r="F36" s="27"/>
      <c r="G36" s="27"/>
      <c r="H36" s="27"/>
      <c r="I36" s="27"/>
      <c r="J36" s="27"/>
    </row>
    <row r="37" spans="1:10">
      <c r="A37" s="27"/>
      <c r="B37" s="27"/>
      <c r="C37" s="27"/>
      <c r="D37" s="27"/>
      <c r="E37" s="27"/>
      <c r="F37" s="27"/>
      <c r="G37" s="27"/>
      <c r="H37" s="27"/>
      <c r="I37" s="27"/>
      <c r="J37" s="27"/>
    </row>
    <row r="38" spans="1:10">
      <c r="A38" s="27"/>
      <c r="B38" s="27"/>
      <c r="C38" s="27"/>
      <c r="D38" s="27"/>
      <c r="E38" s="27"/>
      <c r="F38" s="27"/>
      <c r="G38" s="27"/>
      <c r="H38" s="27"/>
      <c r="I38" s="27"/>
      <c r="J38" s="27"/>
    </row>
    <row r="39" spans="1:10">
      <c r="A39" s="27"/>
      <c r="B39" s="27"/>
      <c r="C39" s="27"/>
      <c r="D39" s="27"/>
      <c r="E39" s="27"/>
      <c r="F39" s="27"/>
      <c r="G39" s="27"/>
      <c r="H39" s="27"/>
      <c r="I39" s="27"/>
      <c r="J39" s="27"/>
    </row>
    <row r="40" spans="1:10">
      <c r="A40" s="27"/>
      <c r="B40" s="27"/>
      <c r="C40" s="27"/>
      <c r="D40" s="27"/>
      <c r="E40" s="27"/>
      <c r="F40" s="27"/>
      <c r="G40" s="27"/>
      <c r="H40" s="27"/>
      <c r="I40" s="27"/>
      <c r="J40" s="27"/>
    </row>
    <row r="41" spans="1:10">
      <c r="A41" s="27"/>
      <c r="B41" s="27"/>
      <c r="C41" s="27"/>
      <c r="D41" s="27"/>
      <c r="E41" s="27"/>
      <c r="F41" s="27"/>
      <c r="G41" s="27"/>
      <c r="H41" s="27"/>
      <c r="I41" s="27"/>
      <c r="J41" s="27"/>
    </row>
    <row r="42" spans="1:10">
      <c r="A42" s="27"/>
      <c r="B42" s="27"/>
      <c r="C42" s="27"/>
      <c r="D42" s="27"/>
      <c r="E42" s="27"/>
      <c r="F42" s="27"/>
      <c r="G42" s="27"/>
      <c r="H42" s="27"/>
      <c r="I42" s="27"/>
      <c r="J42" s="27"/>
    </row>
    <row r="43" spans="1:10">
      <c r="A43" s="27"/>
      <c r="B43" s="27"/>
      <c r="C43" s="27"/>
      <c r="D43" s="27"/>
      <c r="E43" s="27"/>
      <c r="F43" s="27"/>
      <c r="G43" s="27"/>
      <c r="H43" s="27"/>
      <c r="I43" s="27"/>
      <c r="J43" s="27"/>
    </row>
    <row r="44" spans="1:10">
      <c r="A44" s="27"/>
      <c r="B44" s="27"/>
      <c r="C44" s="27"/>
      <c r="D44" s="27"/>
      <c r="E44" s="27"/>
      <c r="F44" s="27"/>
      <c r="G44" s="27"/>
      <c r="H44" s="27"/>
      <c r="I44" s="27"/>
      <c r="J44" s="27"/>
    </row>
    <row r="45" spans="1:10">
      <c r="A45" s="27"/>
      <c r="B45" s="27"/>
      <c r="C45" s="27"/>
      <c r="D45" s="27"/>
      <c r="E45" s="27"/>
      <c r="F45" s="27"/>
      <c r="G45" s="27"/>
      <c r="H45" s="27"/>
      <c r="I45" s="27"/>
      <c r="J45" s="27"/>
    </row>
    <row r="46" spans="1:10">
      <c r="A46" s="27"/>
      <c r="B46" s="27"/>
      <c r="C46" s="27"/>
      <c r="D46" s="27"/>
      <c r="E46" s="27"/>
      <c r="F46" s="27"/>
      <c r="G46" s="27"/>
      <c r="H46" s="27"/>
      <c r="I46" s="27"/>
      <c r="J46" s="27"/>
    </row>
    <row r="47" spans="1:10">
      <c r="A47" s="27"/>
      <c r="B47" s="27"/>
      <c r="C47" s="27"/>
      <c r="D47" s="27"/>
      <c r="E47" s="27"/>
      <c r="F47" s="27"/>
      <c r="G47" s="27"/>
      <c r="H47" s="27"/>
      <c r="I47" s="27"/>
      <c r="J47" s="27"/>
    </row>
    <row r="48" spans="1:10">
      <c r="A48" s="27"/>
      <c r="B48" s="27"/>
      <c r="C48" s="27"/>
      <c r="D48" s="27"/>
      <c r="E48" s="27"/>
      <c r="F48" s="27"/>
      <c r="G48" s="27"/>
      <c r="H48" s="27"/>
      <c r="I48" s="27"/>
      <c r="J48" s="27"/>
    </row>
    <row r="49" spans="1:10">
      <c r="A49" s="27"/>
      <c r="B49" s="27"/>
      <c r="C49" s="27"/>
      <c r="D49" s="27"/>
      <c r="E49" s="27"/>
      <c r="F49" s="27"/>
      <c r="G49" s="27"/>
      <c r="H49" s="27"/>
      <c r="I49" s="27"/>
      <c r="J49" s="27"/>
    </row>
    <row r="50" spans="1:10">
      <c r="A50" s="27"/>
      <c r="B50" s="27"/>
      <c r="C50" s="27"/>
      <c r="D50" s="27"/>
      <c r="E50" s="27"/>
      <c r="F50" s="27"/>
      <c r="G50" s="27"/>
      <c r="H50" s="27"/>
      <c r="I50" s="27"/>
      <c r="J50" s="27"/>
    </row>
    <row r="51" spans="1:10">
      <c r="A51" s="27"/>
      <c r="B51" s="27"/>
      <c r="C51" s="27"/>
      <c r="D51" s="27"/>
      <c r="E51" s="27"/>
      <c r="F51" s="27"/>
      <c r="G51" s="27"/>
      <c r="H51" s="27"/>
      <c r="I51" s="27"/>
      <c r="J51" s="27"/>
    </row>
    <row r="52" spans="1:10">
      <c r="A52" s="27"/>
      <c r="B52" s="27"/>
      <c r="C52" s="27"/>
      <c r="D52" s="27"/>
      <c r="E52" s="27"/>
      <c r="F52" s="27"/>
      <c r="G52" s="27"/>
      <c r="H52" s="27"/>
      <c r="I52" s="27"/>
      <c r="J52" s="27"/>
    </row>
    <row r="53" spans="1:10">
      <c r="A53" s="27"/>
      <c r="B53" s="27"/>
      <c r="C53" s="27"/>
      <c r="D53" s="27"/>
      <c r="E53" s="27"/>
      <c r="F53" s="27"/>
      <c r="G53" s="27"/>
      <c r="H53" s="27"/>
      <c r="I53" s="27"/>
      <c r="J53" s="27"/>
    </row>
    <row r="54" spans="1:10">
      <c r="A54" s="27"/>
      <c r="B54" s="27"/>
      <c r="C54" s="27"/>
      <c r="D54" s="27"/>
      <c r="E54" s="27"/>
      <c r="F54" s="27"/>
      <c r="G54" s="27"/>
      <c r="H54" s="27"/>
      <c r="I54" s="27"/>
      <c r="J54" s="27"/>
    </row>
    <row r="55" spans="1:10">
      <c r="A55" s="27"/>
      <c r="B55" s="27"/>
      <c r="C55" s="27"/>
      <c r="D55" s="27"/>
      <c r="E55" s="27"/>
      <c r="F55" s="27"/>
      <c r="G55" s="27"/>
      <c r="H55" s="27"/>
      <c r="I55" s="27"/>
      <c r="J55" s="27"/>
    </row>
    <row r="56" spans="1:10">
      <c r="A56" s="27"/>
      <c r="B56" s="27"/>
      <c r="C56" s="27"/>
      <c r="D56" s="27"/>
      <c r="E56" s="27"/>
      <c r="F56" s="27"/>
      <c r="G56" s="27"/>
      <c r="H56" s="27"/>
      <c r="I56" s="27"/>
      <c r="J56" s="27"/>
    </row>
    <row r="57" spans="1:10">
      <c r="A57" s="27"/>
      <c r="B57" s="27"/>
      <c r="C57" s="27"/>
      <c r="D57" s="27"/>
      <c r="E57" s="27"/>
      <c r="F57" s="27"/>
      <c r="G57" s="27"/>
      <c r="H57" s="27"/>
      <c r="I57" s="27"/>
      <c r="J57" s="27"/>
    </row>
    <row r="58" spans="1:10">
      <c r="A58" s="27"/>
      <c r="B58" s="27"/>
      <c r="C58" s="27"/>
      <c r="D58" s="27"/>
      <c r="E58" s="27"/>
      <c r="F58" s="27"/>
      <c r="G58" s="27"/>
      <c r="H58" s="27"/>
      <c r="I58" s="27"/>
      <c r="J58" s="27"/>
    </row>
    <row r="59" spans="1:10">
      <c r="A59" s="27"/>
      <c r="B59" s="27"/>
      <c r="C59" s="27"/>
      <c r="D59" s="27"/>
      <c r="E59" s="27"/>
      <c r="F59" s="27"/>
      <c r="G59" s="27"/>
      <c r="H59" s="27"/>
      <c r="I59" s="27"/>
      <c r="J59" s="27"/>
    </row>
    <row r="60" spans="1:10">
      <c r="A60" s="27"/>
      <c r="B60" s="27"/>
      <c r="C60" s="27"/>
      <c r="D60" s="27"/>
      <c r="E60" s="27"/>
      <c r="F60" s="27"/>
      <c r="G60" s="27"/>
      <c r="H60" s="27"/>
      <c r="I60" s="27"/>
      <c r="J60" s="27"/>
    </row>
    <row r="61" spans="1:10">
      <c r="A61" s="27"/>
      <c r="B61" s="27"/>
      <c r="C61" s="27"/>
      <c r="D61" s="27"/>
      <c r="E61" s="27"/>
      <c r="F61" s="27"/>
      <c r="G61" s="27"/>
      <c r="H61" s="27"/>
      <c r="I61" s="27"/>
      <c r="J61" s="27"/>
    </row>
    <row r="62" spans="1:10">
      <c r="A62" s="27"/>
      <c r="B62" s="27"/>
      <c r="C62" s="27"/>
      <c r="D62" s="27"/>
      <c r="E62" s="27"/>
      <c r="F62" s="27"/>
      <c r="G62" s="27"/>
      <c r="H62" s="27"/>
      <c r="I62" s="27"/>
      <c r="J62" s="27"/>
    </row>
    <row r="63" spans="1:10">
      <c r="A63" s="27"/>
      <c r="B63" s="27"/>
      <c r="C63" s="27"/>
      <c r="D63" s="27"/>
      <c r="E63" s="27"/>
      <c r="F63" s="27"/>
      <c r="G63" s="27"/>
      <c r="H63" s="27"/>
      <c r="I63" s="27"/>
      <c r="J63" s="27"/>
    </row>
    <row r="64" spans="1:10">
      <c r="A64" s="27"/>
      <c r="B64" s="27"/>
      <c r="C64" s="27"/>
      <c r="D64" s="27"/>
      <c r="E64" s="27"/>
      <c r="F64" s="27"/>
      <c r="G64" s="27"/>
      <c r="H64" s="27"/>
      <c r="I64" s="27"/>
      <c r="J64" s="27"/>
    </row>
    <row r="65" spans="1:10">
      <c r="A65" s="27"/>
      <c r="B65" s="27"/>
      <c r="C65" s="27"/>
      <c r="D65" s="27"/>
      <c r="E65" s="27"/>
      <c r="F65" s="27"/>
      <c r="G65" s="27"/>
      <c r="H65" s="27"/>
      <c r="I65" s="27"/>
      <c r="J65" s="27"/>
    </row>
    <row r="66" spans="1:10">
      <c r="A66" s="27"/>
      <c r="B66" s="27"/>
      <c r="C66" s="27"/>
      <c r="D66" s="27"/>
      <c r="E66" s="27"/>
      <c r="F66" s="27"/>
      <c r="G66" s="27"/>
      <c r="H66" s="27"/>
      <c r="I66" s="27"/>
      <c r="J66" s="27"/>
    </row>
    <row r="67" spans="1:10">
      <c r="A67" s="27"/>
      <c r="B67" s="27"/>
      <c r="C67" s="27"/>
      <c r="D67" s="27"/>
      <c r="E67" s="27"/>
      <c r="F67" s="27"/>
      <c r="G67" s="27"/>
      <c r="H67" s="27"/>
      <c r="I67" s="27"/>
      <c r="J67" s="27"/>
    </row>
    <row r="68" spans="1:10">
      <c r="A68" s="27"/>
      <c r="B68" s="27"/>
      <c r="C68" s="27"/>
      <c r="D68" s="27"/>
      <c r="E68" s="27"/>
      <c r="F68" s="27"/>
      <c r="G68" s="27"/>
      <c r="H68" s="27"/>
      <c r="I68" s="27"/>
      <c r="J68" s="27"/>
    </row>
    <row r="69" spans="1:10">
      <c r="A69" s="27"/>
      <c r="B69" s="27"/>
      <c r="C69" s="27"/>
      <c r="D69" s="27"/>
      <c r="E69" s="27"/>
      <c r="F69" s="27"/>
      <c r="G69" s="27"/>
      <c r="H69" s="27"/>
      <c r="I69" s="27"/>
      <c r="J69" s="27"/>
    </row>
    <row r="70" spans="1:10">
      <c r="A70" s="27"/>
      <c r="B70" s="27"/>
      <c r="C70" s="27"/>
      <c r="D70" s="27"/>
      <c r="E70" s="27"/>
      <c r="F70" s="27"/>
      <c r="G70" s="27"/>
      <c r="H70" s="27"/>
      <c r="I70" s="27"/>
      <c r="J70" s="27"/>
    </row>
    <row r="71" spans="1:10">
      <c r="A71" s="27"/>
      <c r="B71" s="27"/>
      <c r="C71" s="27"/>
      <c r="D71" s="27"/>
      <c r="E71" s="27"/>
      <c r="F71" s="27"/>
      <c r="G71" s="27"/>
      <c r="H71" s="27"/>
      <c r="I71" s="27"/>
      <c r="J71" s="27"/>
    </row>
    <row r="72" spans="1:10">
      <c r="A72" s="27"/>
      <c r="B72" s="27"/>
      <c r="C72" s="27"/>
      <c r="D72" s="27"/>
      <c r="E72" s="27"/>
      <c r="F72" s="27"/>
      <c r="G72" s="27"/>
      <c r="H72" s="27"/>
      <c r="I72" s="27"/>
      <c r="J72" s="27"/>
    </row>
    <row r="73" spans="1:10">
      <c r="A73" s="27"/>
      <c r="B73" s="27"/>
      <c r="C73" s="27"/>
      <c r="D73" s="27"/>
      <c r="E73" s="27"/>
      <c r="F73" s="27"/>
      <c r="G73" s="27"/>
      <c r="H73" s="27"/>
      <c r="I73" s="27"/>
      <c r="J73" s="27"/>
    </row>
    <row r="74" spans="1:10">
      <c r="A74" s="27"/>
      <c r="B74" s="27"/>
      <c r="C74" s="27"/>
      <c r="D74" s="27"/>
      <c r="E74" s="27"/>
      <c r="F74" s="27"/>
      <c r="G74" s="27"/>
      <c r="H74" s="27"/>
      <c r="I74" s="27"/>
      <c r="J74" s="27"/>
    </row>
    <row r="75" spans="1:10">
      <c r="A75" s="27"/>
      <c r="B75" s="27"/>
      <c r="C75" s="27"/>
      <c r="D75" s="27"/>
      <c r="E75" s="27"/>
      <c r="F75" s="27"/>
      <c r="G75" s="27"/>
      <c r="H75" s="27"/>
      <c r="I75" s="27"/>
      <c r="J75" s="27"/>
    </row>
    <row r="76" spans="1:10">
      <c r="A76" s="27"/>
      <c r="B76" s="27"/>
      <c r="C76" s="27"/>
      <c r="D76" s="27"/>
      <c r="E76" s="27"/>
      <c r="F76" s="27"/>
      <c r="G76" s="27"/>
      <c r="H76" s="27"/>
      <c r="I76" s="27"/>
      <c r="J76" s="27"/>
    </row>
    <row r="77" spans="1:10">
      <c r="A77" s="27"/>
      <c r="B77" s="27"/>
      <c r="C77" s="27"/>
      <c r="D77" s="27"/>
      <c r="E77" s="27"/>
      <c r="F77" s="27"/>
      <c r="G77" s="27"/>
      <c r="H77" s="27"/>
      <c r="I77" s="27"/>
      <c r="J77" s="27"/>
    </row>
    <row r="78" spans="1:10">
      <c r="A78" s="27"/>
      <c r="B78" s="27"/>
      <c r="C78" s="27"/>
      <c r="D78" s="27"/>
      <c r="E78" s="27"/>
      <c r="F78" s="27"/>
      <c r="G78" s="27"/>
      <c r="H78" s="27"/>
      <c r="I78" s="27"/>
      <c r="J78" s="27"/>
    </row>
    <row r="79" spans="1:10">
      <c r="A79" s="27"/>
      <c r="B79" s="27"/>
      <c r="C79" s="27"/>
      <c r="D79" s="27"/>
      <c r="E79" s="27"/>
      <c r="F79" s="27"/>
      <c r="G79" s="27"/>
      <c r="H79" s="27"/>
      <c r="I79" s="27"/>
      <c r="J79" s="27"/>
    </row>
    <row r="80" spans="1:10">
      <c r="A80" s="27"/>
      <c r="B80" s="27"/>
      <c r="C80" s="27"/>
      <c r="D80" s="27"/>
      <c r="E80" s="27"/>
      <c r="F80" s="27"/>
      <c r="G80" s="27"/>
      <c r="H80" s="27"/>
      <c r="I80" s="27"/>
      <c r="J80" s="27"/>
    </row>
    <row r="81" spans="1:10">
      <c r="A81" s="27"/>
      <c r="B81" s="27"/>
      <c r="C81" s="27"/>
      <c r="D81" s="27"/>
      <c r="E81" s="27"/>
      <c r="F81" s="27"/>
      <c r="G81" s="27"/>
      <c r="H81" s="27"/>
      <c r="I81" s="27"/>
      <c r="J81" s="27"/>
    </row>
    <row r="82" spans="1:10">
      <c r="A82" s="27"/>
      <c r="B82" s="27"/>
      <c r="C82" s="27"/>
      <c r="D82" s="27"/>
      <c r="E82" s="27"/>
      <c r="F82" s="27"/>
      <c r="G82" s="27"/>
      <c r="H82" s="27"/>
      <c r="I82" s="27"/>
      <c r="J82" s="27"/>
    </row>
    <row r="83" spans="1:10">
      <c r="A83" s="27"/>
      <c r="B83" s="27"/>
      <c r="C83" s="27"/>
      <c r="D83" s="27"/>
      <c r="E83" s="27"/>
      <c r="F83" s="27"/>
      <c r="G83" s="27"/>
      <c r="H83" s="27"/>
      <c r="I83" s="27"/>
      <c r="J83" s="27"/>
    </row>
    <row r="84" spans="1:10">
      <c r="A84" s="27"/>
      <c r="B84" s="27"/>
      <c r="C84" s="27"/>
      <c r="D84" s="27"/>
      <c r="E84" s="27"/>
      <c r="F84" s="27"/>
      <c r="G84" s="27"/>
      <c r="H84" s="27"/>
      <c r="I84" s="27"/>
      <c r="J84" s="27"/>
    </row>
    <row r="85" spans="1:10">
      <c r="A85" s="27"/>
      <c r="B85" s="27"/>
      <c r="C85" s="27"/>
      <c r="D85" s="27"/>
      <c r="E85" s="27"/>
      <c r="F85" s="27"/>
      <c r="G85" s="27"/>
      <c r="H85" s="27"/>
      <c r="I85" s="27"/>
      <c r="J85" s="27"/>
    </row>
    <row r="86" spans="1:10">
      <c r="A86" s="27"/>
      <c r="B86" s="27"/>
      <c r="C86" s="27"/>
      <c r="D86" s="27"/>
      <c r="E86" s="27"/>
      <c r="F86" s="27"/>
      <c r="G86" s="27"/>
      <c r="H86" s="27"/>
      <c r="I86" s="27"/>
      <c r="J86" s="27"/>
    </row>
    <row r="87" spans="1:10">
      <c r="A87" s="27"/>
      <c r="B87" s="27"/>
      <c r="C87" s="27"/>
      <c r="D87" s="27"/>
      <c r="E87" s="27"/>
      <c r="F87" s="27"/>
      <c r="G87" s="27"/>
      <c r="H87" s="27"/>
      <c r="I87" s="27"/>
      <c r="J87" s="27"/>
    </row>
    <row r="88" spans="1:10">
      <c r="A88" s="27"/>
      <c r="B88" s="27"/>
      <c r="C88" s="27"/>
      <c r="D88" s="27"/>
      <c r="E88" s="27"/>
      <c r="F88" s="27"/>
      <c r="G88" s="27"/>
      <c r="H88" s="27"/>
      <c r="I88" s="27"/>
      <c r="J88" s="27"/>
    </row>
    <row r="89" spans="1:10">
      <c r="A89" s="27"/>
      <c r="B89" s="27"/>
      <c r="C89" s="27"/>
      <c r="D89" s="27"/>
      <c r="E89" s="27"/>
      <c r="F89" s="27"/>
      <c r="G89" s="27"/>
      <c r="H89" s="27"/>
      <c r="I89" s="27"/>
      <c r="J89" s="27"/>
    </row>
    <row r="90" spans="1:10">
      <c r="A90" s="27"/>
      <c r="B90" s="27"/>
      <c r="C90" s="27"/>
      <c r="D90" s="27"/>
      <c r="E90" s="27"/>
      <c r="F90" s="27"/>
      <c r="G90" s="27"/>
      <c r="H90" s="27"/>
      <c r="I90" s="27"/>
      <c r="J90" s="27"/>
    </row>
    <row r="91" spans="1:10">
      <c r="A91" s="27"/>
      <c r="B91" s="27"/>
      <c r="C91" s="27"/>
      <c r="D91" s="27"/>
      <c r="E91" s="27"/>
      <c r="F91" s="27"/>
      <c r="G91" s="27"/>
      <c r="H91" s="27"/>
      <c r="I91" s="27"/>
      <c r="J91" s="27"/>
    </row>
    <row r="92" spans="1:10">
      <c r="A92" s="27"/>
      <c r="B92" s="27"/>
      <c r="C92" s="27"/>
      <c r="D92" s="27"/>
      <c r="E92" s="27"/>
      <c r="F92" s="27"/>
      <c r="G92" s="27"/>
      <c r="H92" s="27"/>
      <c r="I92" s="27"/>
      <c r="J92" s="27"/>
    </row>
    <row r="93" spans="1:10">
      <c r="A93" s="27"/>
      <c r="B93" s="27"/>
      <c r="C93" s="27"/>
      <c r="D93" s="27"/>
      <c r="E93" s="27"/>
      <c r="F93" s="27"/>
      <c r="G93" s="27"/>
      <c r="H93" s="27"/>
      <c r="I93" s="27"/>
      <c r="J93" s="27"/>
    </row>
    <row r="94" spans="1:10">
      <c r="A94" s="27"/>
      <c r="B94" s="27"/>
      <c r="C94" s="27"/>
      <c r="D94" s="27"/>
      <c r="E94" s="27"/>
      <c r="F94" s="27"/>
      <c r="G94" s="27"/>
      <c r="H94" s="27"/>
      <c r="I94" s="27"/>
      <c r="J94" s="27"/>
    </row>
    <row r="95" spans="1:10">
      <c r="A95" s="27"/>
      <c r="B95" s="27"/>
      <c r="C95" s="27"/>
      <c r="D95" s="27"/>
      <c r="E95" s="27"/>
      <c r="F95" s="27"/>
      <c r="G95" s="27"/>
      <c r="H95" s="27"/>
      <c r="I95" s="27"/>
      <c r="J95" s="27"/>
    </row>
    <row r="96" spans="1:10">
      <c r="A96" s="27"/>
      <c r="B96" s="27"/>
      <c r="C96" s="27"/>
      <c r="D96" s="27"/>
      <c r="E96" s="27"/>
      <c r="F96" s="27"/>
      <c r="G96" s="27"/>
      <c r="H96" s="27"/>
      <c r="I96" s="27"/>
      <c r="J96" s="27"/>
    </row>
    <row r="97" spans="1:10">
      <c r="A97" s="27"/>
      <c r="B97" s="27"/>
      <c r="C97" s="27"/>
      <c r="D97" s="27"/>
      <c r="E97" s="27"/>
      <c r="F97" s="27"/>
      <c r="G97" s="27"/>
      <c r="H97" s="27"/>
      <c r="I97" s="27"/>
      <c r="J97" s="27"/>
    </row>
    <row r="98" spans="1:10">
      <c r="A98" s="27"/>
      <c r="B98" s="27"/>
      <c r="C98" s="27"/>
      <c r="D98" s="27"/>
      <c r="E98" s="27"/>
      <c r="F98" s="27"/>
      <c r="G98" s="27"/>
      <c r="H98" s="27"/>
      <c r="I98" s="27"/>
      <c r="J98" s="27"/>
    </row>
    <row r="99" spans="1:10">
      <c r="A99" s="27"/>
      <c r="B99" s="27"/>
      <c r="C99" s="27"/>
      <c r="D99" s="27"/>
      <c r="E99" s="27"/>
      <c r="F99" s="27"/>
      <c r="G99" s="27"/>
      <c r="H99" s="27"/>
      <c r="I99" s="27"/>
      <c r="J99" s="27"/>
    </row>
    <row r="100" spans="1:10">
      <c r="A100" s="27"/>
      <c r="B100" s="27"/>
      <c r="C100" s="27"/>
      <c r="D100" s="27"/>
      <c r="E100" s="27"/>
      <c r="F100" s="27"/>
      <c r="G100" s="27"/>
      <c r="H100" s="27"/>
      <c r="I100" s="27"/>
      <c r="J100" s="27"/>
    </row>
    <row r="101" spans="1:10">
      <c r="A101" s="27"/>
      <c r="B101" s="27"/>
      <c r="C101" s="27"/>
      <c r="D101" s="27"/>
      <c r="E101" s="27"/>
      <c r="F101" s="27"/>
      <c r="G101" s="27"/>
      <c r="H101" s="27"/>
      <c r="I101" s="27"/>
      <c r="J101" s="27"/>
    </row>
    <row r="102" spans="1:10">
      <c r="A102" s="27"/>
      <c r="B102" s="27"/>
      <c r="C102" s="27"/>
      <c r="D102" s="27"/>
      <c r="E102" s="27"/>
      <c r="F102" s="27"/>
      <c r="G102" s="27"/>
      <c r="H102" s="27"/>
      <c r="I102" s="27"/>
      <c r="J102" s="27"/>
    </row>
    <row r="103" spans="1:10">
      <c r="A103" s="27"/>
      <c r="B103" s="27"/>
      <c r="C103" s="27"/>
      <c r="D103" s="27"/>
      <c r="E103" s="27"/>
      <c r="F103" s="27"/>
      <c r="G103" s="27"/>
      <c r="H103" s="27"/>
      <c r="I103" s="27"/>
      <c r="J103" s="27"/>
    </row>
    <row r="104" spans="1:10">
      <c r="A104" s="27"/>
      <c r="B104" s="27"/>
      <c r="C104" s="27"/>
      <c r="D104" s="27"/>
      <c r="E104" s="27"/>
      <c r="F104" s="27"/>
      <c r="G104" s="27"/>
      <c r="H104" s="27"/>
      <c r="I104" s="27"/>
      <c r="J104" s="27"/>
    </row>
    <row r="105" spans="1:10">
      <c r="A105" s="27"/>
      <c r="B105" s="27"/>
      <c r="C105" s="27"/>
      <c r="D105" s="27"/>
      <c r="E105" s="27"/>
      <c r="F105" s="27"/>
      <c r="G105" s="27"/>
      <c r="H105" s="27"/>
      <c r="I105" s="27"/>
      <c r="J105" s="27"/>
    </row>
    <row r="106" spans="1:10">
      <c r="A106" s="27"/>
      <c r="B106" s="27"/>
      <c r="C106" s="27"/>
      <c r="D106" s="27"/>
      <c r="E106" s="27"/>
      <c r="F106" s="27"/>
      <c r="G106" s="27"/>
      <c r="H106" s="27"/>
      <c r="I106" s="27"/>
      <c r="J106" s="27"/>
    </row>
    <row r="107" spans="1:10">
      <c r="A107" s="27"/>
      <c r="B107" s="27"/>
      <c r="C107" s="27"/>
      <c r="D107" s="27"/>
      <c r="E107" s="27"/>
      <c r="F107" s="27"/>
      <c r="G107" s="27"/>
      <c r="H107" s="27"/>
      <c r="I107" s="27"/>
      <c r="J107" s="27"/>
    </row>
    <row r="108" spans="1:10">
      <c r="A108" s="27"/>
      <c r="B108" s="27"/>
      <c r="C108" s="27"/>
      <c r="D108" s="27"/>
      <c r="E108" s="27"/>
      <c r="F108" s="27"/>
      <c r="G108" s="27"/>
      <c r="H108" s="27"/>
      <c r="I108" s="27"/>
      <c r="J108" s="27"/>
    </row>
    <row r="109" spans="1:10">
      <c r="A109" s="27"/>
      <c r="B109" s="27"/>
      <c r="C109" s="27"/>
      <c r="D109" s="27"/>
      <c r="E109" s="27"/>
      <c r="F109" s="27"/>
      <c r="G109" s="27"/>
      <c r="H109" s="27"/>
      <c r="I109" s="27"/>
      <c r="J109" s="27"/>
    </row>
    <row r="110" spans="1:10">
      <c r="A110" s="27"/>
      <c r="B110" s="27"/>
      <c r="C110" s="27"/>
      <c r="D110" s="27"/>
      <c r="E110" s="27"/>
      <c r="F110" s="27"/>
      <c r="G110" s="27"/>
      <c r="H110" s="27"/>
      <c r="I110" s="27"/>
      <c r="J110" s="27"/>
    </row>
    <row r="111" spans="1:10">
      <c r="A111" s="27"/>
      <c r="B111" s="27"/>
      <c r="C111" s="27"/>
      <c r="D111" s="27"/>
      <c r="E111" s="27"/>
      <c r="F111" s="27"/>
      <c r="G111" s="27"/>
      <c r="H111" s="27"/>
      <c r="I111" s="27"/>
      <c r="J111" s="27"/>
    </row>
    <row r="112" spans="1:10">
      <c r="A112" s="27"/>
      <c r="B112" s="27"/>
      <c r="C112" s="27"/>
      <c r="D112" s="27"/>
      <c r="E112" s="27"/>
      <c r="F112" s="27"/>
      <c r="G112" s="27"/>
      <c r="H112" s="27"/>
      <c r="I112" s="27"/>
      <c r="J112" s="27"/>
    </row>
    <row r="113" spans="1:10">
      <c r="A113" s="27"/>
      <c r="B113" s="27"/>
      <c r="C113" s="27"/>
      <c r="D113" s="27"/>
      <c r="E113" s="27"/>
      <c r="F113" s="27"/>
      <c r="G113" s="27"/>
      <c r="H113" s="27"/>
      <c r="I113" s="27"/>
      <c r="J113" s="27"/>
    </row>
    <row r="114" spans="1:10">
      <c r="A114" s="27"/>
      <c r="B114" s="27"/>
      <c r="C114" s="27"/>
      <c r="D114" s="27"/>
      <c r="E114" s="27"/>
      <c r="F114" s="27"/>
      <c r="G114" s="27"/>
      <c r="H114" s="27"/>
      <c r="I114" s="27"/>
      <c r="J114" s="27"/>
    </row>
    <row r="115" spans="1:10">
      <c r="A115" s="27"/>
      <c r="B115" s="27"/>
      <c r="C115" s="27"/>
      <c r="D115" s="27"/>
      <c r="E115" s="27"/>
      <c r="F115" s="27"/>
      <c r="G115" s="27"/>
      <c r="H115" s="27"/>
      <c r="I115" s="27"/>
      <c r="J115" s="27"/>
    </row>
    <row r="116" spans="1:10">
      <c r="A116" s="27"/>
      <c r="B116" s="27"/>
      <c r="C116" s="27"/>
      <c r="D116" s="27"/>
      <c r="E116" s="27"/>
      <c r="F116" s="27"/>
      <c r="G116" s="27"/>
      <c r="H116" s="27"/>
      <c r="I116" s="27"/>
      <c r="J116" s="27"/>
    </row>
    <row r="117" spans="1:10">
      <c r="A117" s="27"/>
      <c r="B117" s="27"/>
      <c r="C117" s="27"/>
      <c r="D117" s="27"/>
      <c r="E117" s="27"/>
      <c r="F117" s="27"/>
      <c r="G117" s="27"/>
      <c r="H117" s="27"/>
      <c r="I117" s="27"/>
      <c r="J117" s="27"/>
    </row>
    <row r="118" spans="1:10">
      <c r="A118" s="27"/>
      <c r="B118" s="27"/>
      <c r="C118" s="27"/>
      <c r="D118" s="27"/>
      <c r="E118" s="27"/>
      <c r="F118" s="27"/>
      <c r="G118" s="27"/>
      <c r="H118" s="27"/>
      <c r="I118" s="27"/>
      <c r="J118" s="27"/>
    </row>
    <row r="119" spans="1:10">
      <c r="A119" s="27"/>
      <c r="B119" s="27"/>
      <c r="C119" s="27"/>
      <c r="D119" s="27"/>
      <c r="E119" s="27"/>
      <c r="F119" s="27"/>
      <c r="G119" s="27"/>
      <c r="H119" s="27"/>
      <c r="I119" s="27"/>
      <c r="J119" s="27"/>
    </row>
    <row r="120" spans="1:10">
      <c r="A120" s="27"/>
      <c r="B120" s="27"/>
      <c r="C120" s="27"/>
      <c r="D120" s="27"/>
      <c r="E120" s="27"/>
      <c r="F120" s="27"/>
      <c r="G120" s="27"/>
      <c r="H120" s="27"/>
      <c r="I120" s="27"/>
      <c r="J120" s="27"/>
    </row>
    <row r="121" spans="1:10">
      <c r="A121" s="27"/>
      <c r="B121" s="27"/>
      <c r="C121" s="27"/>
      <c r="D121" s="27"/>
      <c r="E121" s="27"/>
      <c r="F121" s="27"/>
      <c r="G121" s="27"/>
      <c r="H121" s="27"/>
      <c r="I121" s="27"/>
      <c r="J121" s="27"/>
    </row>
    <row r="122" spans="1:10">
      <c r="A122" s="27"/>
      <c r="B122" s="27"/>
      <c r="C122" s="27"/>
      <c r="D122" s="27"/>
      <c r="E122" s="27"/>
      <c r="F122" s="27"/>
      <c r="G122" s="27"/>
      <c r="H122" s="27"/>
      <c r="I122" s="27"/>
      <c r="J122" s="27"/>
    </row>
    <row r="123" spans="1:10">
      <c r="A123" s="27"/>
      <c r="B123" s="27"/>
      <c r="C123" s="27"/>
      <c r="D123" s="27"/>
      <c r="E123" s="27"/>
      <c r="F123" s="27"/>
      <c r="G123" s="27"/>
      <c r="H123" s="27"/>
      <c r="I123" s="27"/>
      <c r="J123" s="27"/>
    </row>
    <row r="124" spans="1:10">
      <c r="A124" s="27"/>
      <c r="B124" s="27"/>
      <c r="C124" s="27"/>
      <c r="D124" s="27"/>
      <c r="E124" s="27"/>
      <c r="F124" s="27"/>
      <c r="G124" s="27"/>
      <c r="H124" s="27"/>
      <c r="I124" s="27"/>
      <c r="J124" s="27"/>
    </row>
    <row r="125" spans="1:10">
      <c r="A125" s="27"/>
      <c r="B125" s="27"/>
      <c r="C125" s="27"/>
      <c r="D125" s="27"/>
      <c r="E125" s="27"/>
      <c r="F125" s="27"/>
      <c r="G125" s="27"/>
      <c r="H125" s="27"/>
      <c r="I125" s="27"/>
      <c r="J125" s="27"/>
    </row>
    <row r="126" spans="1:10">
      <c r="A126" s="27"/>
      <c r="B126" s="27"/>
      <c r="C126" s="27"/>
      <c r="D126" s="27"/>
      <c r="E126" s="27"/>
      <c r="F126" s="27"/>
      <c r="G126" s="27"/>
      <c r="H126" s="27"/>
      <c r="I126" s="27"/>
      <c r="J126" s="27"/>
    </row>
    <row r="127" spans="1:10">
      <c r="A127" s="27"/>
      <c r="B127" s="27"/>
      <c r="C127" s="27"/>
      <c r="D127" s="27"/>
      <c r="E127" s="27"/>
      <c r="F127" s="27"/>
      <c r="G127" s="27"/>
      <c r="H127" s="27"/>
      <c r="I127" s="27"/>
      <c r="J127" s="27"/>
    </row>
    <row r="128" spans="1:10">
      <c r="A128" s="27"/>
      <c r="B128" s="27"/>
      <c r="C128" s="27"/>
      <c r="D128" s="27"/>
      <c r="E128" s="27"/>
      <c r="F128" s="27"/>
      <c r="G128" s="27"/>
      <c r="H128" s="27"/>
      <c r="I128" s="27"/>
      <c r="J128" s="27"/>
    </row>
    <row r="129" spans="1:10">
      <c r="A129" s="27"/>
      <c r="B129" s="27"/>
      <c r="C129" s="27"/>
      <c r="D129" s="27"/>
      <c r="E129" s="27"/>
      <c r="F129" s="27"/>
      <c r="G129" s="27"/>
      <c r="H129" s="27"/>
      <c r="I129" s="27"/>
      <c r="J129" s="27"/>
    </row>
    <row r="130" spans="1:10">
      <c r="A130" s="27"/>
      <c r="B130" s="27"/>
      <c r="C130" s="27"/>
      <c r="D130" s="27"/>
      <c r="E130" s="27"/>
      <c r="F130" s="27"/>
      <c r="G130" s="27"/>
      <c r="H130" s="27"/>
      <c r="I130" s="27"/>
      <c r="J130" s="27"/>
    </row>
    <row r="131" spans="1:10">
      <c r="A131" s="27"/>
      <c r="B131" s="27"/>
      <c r="C131" s="27"/>
      <c r="D131" s="27"/>
      <c r="E131" s="27"/>
      <c r="F131" s="27"/>
      <c r="G131" s="27"/>
      <c r="H131" s="27"/>
      <c r="I131" s="27"/>
      <c r="J131" s="27"/>
    </row>
    <row r="132" spans="1:10">
      <c r="A132" s="27"/>
      <c r="B132" s="27"/>
      <c r="C132" s="27"/>
      <c r="D132" s="27"/>
      <c r="E132" s="27"/>
      <c r="F132" s="27"/>
      <c r="G132" s="27"/>
      <c r="H132" s="27"/>
      <c r="I132" s="27"/>
      <c r="J132" s="27"/>
    </row>
    <row r="133" spans="1:10">
      <c r="A133" s="27"/>
      <c r="B133" s="27"/>
      <c r="C133" s="27"/>
      <c r="D133" s="27"/>
      <c r="E133" s="27"/>
      <c r="F133" s="27"/>
      <c r="G133" s="27"/>
      <c r="H133" s="27"/>
      <c r="I133" s="27"/>
      <c r="J133" s="27"/>
    </row>
    <row r="134" spans="1:10">
      <c r="A134" s="27"/>
      <c r="B134" s="27"/>
      <c r="C134" s="27"/>
      <c r="D134" s="27"/>
      <c r="E134" s="27"/>
      <c r="F134" s="27"/>
      <c r="G134" s="27"/>
      <c r="H134" s="27"/>
      <c r="I134" s="27"/>
      <c r="J134" s="27"/>
    </row>
    <row r="135" spans="1:10">
      <c r="A135" s="27"/>
      <c r="B135" s="27"/>
      <c r="C135" s="27"/>
      <c r="D135" s="27"/>
      <c r="E135" s="27"/>
      <c r="F135" s="27"/>
      <c r="G135" s="27"/>
      <c r="H135" s="27"/>
      <c r="I135" s="27"/>
      <c r="J135" s="27"/>
    </row>
    <row r="136" spans="1:10">
      <c r="A136" s="27"/>
      <c r="B136" s="27"/>
      <c r="C136" s="27"/>
      <c r="D136" s="27"/>
      <c r="E136" s="27"/>
      <c r="F136" s="27"/>
      <c r="G136" s="27"/>
      <c r="H136" s="27"/>
      <c r="I136" s="27"/>
      <c r="J136" s="27"/>
    </row>
    <row r="137" spans="1:10">
      <c r="A137" s="27"/>
      <c r="B137" s="27"/>
      <c r="C137" s="27"/>
      <c r="D137" s="27"/>
      <c r="E137" s="27"/>
      <c r="F137" s="27"/>
      <c r="G137" s="27"/>
      <c r="H137" s="27"/>
      <c r="I137" s="27"/>
      <c r="J137" s="27"/>
    </row>
    <row r="138" spans="1:10">
      <c r="A138" s="27"/>
      <c r="B138" s="27"/>
      <c r="C138" s="27"/>
      <c r="D138" s="27"/>
      <c r="E138" s="27"/>
      <c r="F138" s="27"/>
      <c r="G138" s="27"/>
      <c r="H138" s="27"/>
      <c r="I138" s="27"/>
      <c r="J138" s="27"/>
    </row>
    <row r="139" spans="1:10">
      <c r="A139" s="27"/>
      <c r="B139" s="27"/>
      <c r="C139" s="27"/>
      <c r="D139" s="27"/>
      <c r="E139" s="27"/>
      <c r="F139" s="27"/>
      <c r="G139" s="27"/>
      <c r="H139" s="27"/>
      <c r="I139" s="27"/>
      <c r="J139" s="27"/>
    </row>
    <row r="140" spans="1:10">
      <c r="A140" s="27"/>
      <c r="B140" s="27"/>
      <c r="C140" s="27"/>
      <c r="D140" s="27"/>
      <c r="E140" s="27"/>
      <c r="F140" s="27"/>
      <c r="G140" s="27"/>
      <c r="H140" s="27"/>
      <c r="I140" s="27"/>
      <c r="J140" s="27"/>
    </row>
    <row r="141" spans="1:10">
      <c r="A141" s="27"/>
      <c r="B141" s="27"/>
      <c r="C141" s="27"/>
      <c r="D141" s="27"/>
      <c r="E141" s="27"/>
      <c r="F141" s="27"/>
      <c r="G141" s="27"/>
      <c r="H141" s="27"/>
      <c r="I141" s="27"/>
      <c r="J141" s="27"/>
    </row>
    <row r="142" spans="1:10">
      <c r="A142" s="27"/>
      <c r="B142" s="27"/>
      <c r="C142" s="27"/>
      <c r="D142" s="27"/>
      <c r="E142" s="27"/>
      <c r="F142" s="27"/>
      <c r="G142" s="27"/>
      <c r="H142" s="27"/>
      <c r="I142" s="27"/>
      <c r="J142" s="27"/>
    </row>
    <row r="143" spans="1:10">
      <c r="A143" s="27"/>
      <c r="B143" s="27"/>
      <c r="C143" s="27"/>
      <c r="D143" s="27"/>
      <c r="E143" s="27"/>
      <c r="F143" s="27"/>
      <c r="G143" s="27"/>
      <c r="H143" s="27"/>
      <c r="I143" s="27"/>
      <c r="J143" s="27"/>
    </row>
    <row r="144" spans="1:10">
      <c r="A144" s="27"/>
      <c r="B144" s="27"/>
      <c r="C144" s="27"/>
      <c r="D144" s="27"/>
      <c r="E144" s="27"/>
      <c r="F144" s="27"/>
      <c r="G144" s="27"/>
      <c r="H144" s="27"/>
      <c r="I144" s="27"/>
      <c r="J144" s="27"/>
    </row>
    <row r="145" spans="1:10">
      <c r="A145" s="27"/>
      <c r="B145" s="27"/>
      <c r="C145" s="27"/>
      <c r="D145" s="27"/>
      <c r="E145" s="27"/>
      <c r="F145" s="27"/>
      <c r="G145" s="27"/>
      <c r="H145" s="27"/>
      <c r="I145" s="27"/>
      <c r="J145" s="27"/>
    </row>
    <row r="146" spans="1:10">
      <c r="A146" s="27"/>
      <c r="B146" s="27"/>
      <c r="C146" s="27"/>
      <c r="D146" s="27"/>
      <c r="E146" s="27"/>
      <c r="F146" s="27"/>
      <c r="G146" s="27"/>
      <c r="H146" s="27"/>
      <c r="I146" s="27"/>
      <c r="J146" s="27"/>
    </row>
    <row r="147" spans="1:10">
      <c r="A147" s="27"/>
      <c r="B147" s="27"/>
      <c r="C147" s="27"/>
      <c r="D147" s="27"/>
      <c r="E147" s="27"/>
      <c r="F147" s="27"/>
      <c r="G147" s="27"/>
      <c r="H147" s="27"/>
      <c r="I147" s="27"/>
      <c r="J147" s="27"/>
    </row>
    <row r="148" spans="1:10">
      <c r="A148" s="27"/>
      <c r="B148" s="27"/>
      <c r="C148" s="27"/>
      <c r="D148" s="27"/>
      <c r="E148" s="27"/>
      <c r="F148" s="27"/>
      <c r="G148" s="27"/>
      <c r="H148" s="27"/>
      <c r="I148" s="27"/>
      <c r="J148" s="27"/>
    </row>
    <row r="149" spans="1:10">
      <c r="A149" s="27"/>
      <c r="B149" s="27"/>
      <c r="C149" s="27"/>
      <c r="D149" s="27"/>
      <c r="E149" s="27"/>
      <c r="F149" s="27"/>
      <c r="G149" s="27"/>
      <c r="H149" s="27"/>
      <c r="I149" s="27"/>
      <c r="J149" s="27"/>
    </row>
    <row r="150" spans="1:10">
      <c r="A150" s="27"/>
      <c r="B150" s="27"/>
      <c r="C150" s="27"/>
      <c r="D150" s="27"/>
      <c r="E150" s="27"/>
      <c r="F150" s="27"/>
      <c r="G150" s="27"/>
      <c r="H150" s="27"/>
      <c r="I150" s="27"/>
      <c r="J150" s="27"/>
    </row>
    <row r="151" spans="1:10">
      <c r="A151" s="27"/>
      <c r="B151" s="27"/>
      <c r="C151" s="27"/>
      <c r="D151" s="27"/>
      <c r="E151" s="27"/>
      <c r="F151" s="27"/>
      <c r="G151" s="27"/>
      <c r="H151" s="27"/>
      <c r="I151" s="27"/>
      <c r="J151" s="27"/>
    </row>
    <row r="152" spans="1:10">
      <c r="A152" s="27"/>
      <c r="B152" s="27"/>
      <c r="C152" s="27"/>
      <c r="D152" s="27"/>
      <c r="E152" s="27"/>
      <c r="F152" s="27"/>
      <c r="G152" s="27"/>
      <c r="H152" s="27"/>
      <c r="I152" s="27"/>
      <c r="J152" s="27"/>
    </row>
    <row r="153" spans="1:10">
      <c r="A153" s="27"/>
      <c r="B153" s="27"/>
      <c r="C153" s="27"/>
      <c r="D153" s="27"/>
      <c r="E153" s="27"/>
      <c r="F153" s="27"/>
      <c r="G153" s="27"/>
      <c r="H153" s="27"/>
      <c r="I153" s="27"/>
      <c r="J153" s="27"/>
    </row>
    <row r="154" spans="1:10">
      <c r="A154" s="27"/>
      <c r="B154" s="27"/>
      <c r="C154" s="27"/>
      <c r="D154" s="27"/>
      <c r="E154" s="27"/>
      <c r="F154" s="27"/>
      <c r="G154" s="27"/>
      <c r="H154" s="27"/>
      <c r="I154" s="27"/>
      <c r="J154" s="27"/>
    </row>
    <row r="155" spans="1:10">
      <c r="A155" s="27"/>
      <c r="B155" s="27"/>
      <c r="C155" s="27"/>
      <c r="D155" s="27"/>
      <c r="E155" s="27"/>
      <c r="F155" s="27"/>
      <c r="G155" s="27"/>
      <c r="H155" s="27"/>
      <c r="I155" s="27"/>
      <c r="J155" s="27"/>
    </row>
    <row r="156" spans="1:10">
      <c r="A156" s="27"/>
      <c r="B156" s="27"/>
      <c r="C156" s="27"/>
      <c r="D156" s="27"/>
      <c r="E156" s="27"/>
      <c r="F156" s="27"/>
      <c r="G156" s="27"/>
      <c r="H156" s="27"/>
      <c r="I156" s="27"/>
      <c r="J156" s="27"/>
    </row>
    <row r="157" spans="1:10">
      <c r="A157" s="27"/>
      <c r="B157" s="27"/>
      <c r="C157" s="27"/>
      <c r="D157" s="27"/>
      <c r="E157" s="27"/>
      <c r="F157" s="27"/>
      <c r="G157" s="27"/>
      <c r="H157" s="27"/>
      <c r="I157" s="27"/>
      <c r="J157" s="27"/>
    </row>
    <row r="158" spans="1:10">
      <c r="A158" s="27"/>
      <c r="B158" s="27"/>
      <c r="C158" s="27"/>
      <c r="D158" s="27"/>
      <c r="E158" s="27"/>
      <c r="F158" s="27"/>
      <c r="G158" s="27"/>
      <c r="H158" s="27"/>
      <c r="I158" s="27"/>
      <c r="J158" s="27"/>
    </row>
    <row r="159" spans="1:10">
      <c r="A159" s="27"/>
      <c r="B159" s="27"/>
      <c r="C159" s="27"/>
      <c r="D159" s="27"/>
      <c r="E159" s="27"/>
      <c r="F159" s="27"/>
      <c r="G159" s="27"/>
      <c r="H159" s="27"/>
      <c r="I159" s="27"/>
      <c r="J159" s="27"/>
    </row>
    <row r="160" spans="1:10">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row r="217" spans="1:10">
      <c r="A217" s="27"/>
      <c r="B217" s="27"/>
      <c r="C217" s="27"/>
      <c r="D217" s="27"/>
      <c r="E217" s="27"/>
      <c r="F217" s="27"/>
      <c r="G217" s="27"/>
      <c r="H217" s="27"/>
      <c r="I217" s="27"/>
      <c r="J217" s="27"/>
    </row>
    <row r="218" spans="1:10">
      <c r="A218" s="27"/>
      <c r="B218" s="27"/>
      <c r="C218" s="27"/>
      <c r="D218" s="27"/>
      <c r="E218" s="27"/>
      <c r="F218" s="27"/>
      <c r="G218" s="27"/>
      <c r="H218" s="27"/>
      <c r="I218" s="27"/>
      <c r="J218" s="27"/>
    </row>
    <row r="219" spans="1:10">
      <c r="A219" s="27"/>
      <c r="B219" s="27"/>
      <c r="C219" s="27"/>
      <c r="D219" s="27"/>
      <c r="E219" s="27"/>
      <c r="F219" s="27"/>
      <c r="G219" s="27"/>
      <c r="H219" s="27"/>
      <c r="I219" s="27"/>
      <c r="J219" s="27"/>
    </row>
    <row r="220" spans="1:10">
      <c r="A220" s="27"/>
      <c r="B220" s="27"/>
      <c r="C220" s="27"/>
      <c r="D220" s="27"/>
      <c r="E220" s="27"/>
      <c r="F220" s="27"/>
      <c r="G220" s="27"/>
      <c r="H220" s="27"/>
      <c r="I220" s="27"/>
      <c r="J220" s="27"/>
    </row>
  </sheetData>
  <mergeCells count="28">
    <mergeCell ref="I16:I19"/>
    <mergeCell ref="A9:A15"/>
    <mergeCell ref="B9:B15"/>
    <mergeCell ref="C9:C15"/>
    <mergeCell ref="D9:D15"/>
    <mergeCell ref="E9:E15"/>
    <mergeCell ref="I9:I15"/>
    <mergeCell ref="A16:A19"/>
    <mergeCell ref="B16:B19"/>
    <mergeCell ref="C16:C19"/>
    <mergeCell ref="D16:D19"/>
    <mergeCell ref="E16:E19"/>
    <mergeCell ref="F9:F15"/>
    <mergeCell ref="F16:F19"/>
    <mergeCell ref="I5:I7"/>
    <mergeCell ref="A2:A3"/>
    <mergeCell ref="B2:B3"/>
    <mergeCell ref="C2:C3"/>
    <mergeCell ref="D2:D3"/>
    <mergeCell ref="E2:E3"/>
    <mergeCell ref="I2:I3"/>
    <mergeCell ref="A5:A7"/>
    <mergeCell ref="B5:B7"/>
    <mergeCell ref="C5:C7"/>
    <mergeCell ref="D5:D7"/>
    <mergeCell ref="E5:E7"/>
    <mergeCell ref="F2:F3"/>
    <mergeCell ref="F5:F7"/>
  </mergeCells>
  <phoneticPr fontId="1" type="noConversion"/>
  <conditionalFormatting sqref="A1:E19 G1:K19">
    <cfRule type="containsText" dxfId="30" priority="3" operator="containsText" text="TBD">
      <formula>NOT(ISERROR(SEARCH("TBD",A1)))</formula>
    </cfRule>
  </conditionalFormatting>
  <conditionalFormatting sqref="F2:F19">
    <cfRule type="containsText" dxfId="29" priority="2" operator="containsText" text="TBD">
      <formula>NOT(ISERROR(SEARCH("TBD",F2)))</formula>
    </cfRule>
  </conditionalFormatting>
  <conditionalFormatting sqref="F1">
    <cfRule type="containsText" dxfId="28" priority="1" operator="containsText" text="TBD">
      <formula>NOT(ISERROR(SEARCH("TBD",F1)))</formula>
    </cfRule>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E59B-075D-41F5-B5CE-6398D79B6392}">
  <dimension ref="A1:K220"/>
  <sheetViews>
    <sheetView zoomScale="65" zoomScaleNormal="65" workbookViewId="0">
      <selection activeCell="G6" sqref="A1:K42"/>
    </sheetView>
  </sheetViews>
  <sheetFormatPr defaultColWidth="52.9140625" defaultRowHeight="17"/>
  <cols>
    <col min="1" max="1" width="15.9140625" customWidth="1"/>
    <col min="2" max="2" width="27.58203125" bestFit="1" customWidth="1"/>
    <col min="3" max="3" width="52.1640625" bestFit="1" customWidth="1"/>
    <col min="4" max="4" width="52.58203125" bestFit="1" customWidth="1"/>
    <col min="5" max="5" width="26.9140625" customWidth="1"/>
    <col min="6" max="6" width="15.9140625" customWidth="1"/>
    <col min="7" max="8" width="52.83203125" bestFit="1" customWidth="1"/>
    <col min="9" max="9" width="52.5" bestFit="1" customWidth="1"/>
    <col min="10" max="10" width="9.33203125" bestFit="1" customWidth="1"/>
    <col min="11" max="11" width="8.6640625" bestFit="1" customWidth="1"/>
  </cols>
  <sheetData>
    <row r="1" spans="1:11" ht="17.5" thickBot="1">
      <c r="A1" s="24" t="s">
        <v>418</v>
      </c>
      <c r="B1" s="1" t="s">
        <v>11</v>
      </c>
      <c r="C1" s="1" t="s">
        <v>12</v>
      </c>
      <c r="D1" s="1" t="s">
        <v>13</v>
      </c>
      <c r="E1" s="22" t="s">
        <v>408</v>
      </c>
      <c r="F1" s="22" t="s">
        <v>422</v>
      </c>
      <c r="G1" s="22" t="s">
        <v>417</v>
      </c>
      <c r="H1" s="22" t="s">
        <v>407</v>
      </c>
      <c r="I1" s="1" t="s">
        <v>14</v>
      </c>
      <c r="J1" s="1" t="s">
        <v>15</v>
      </c>
      <c r="K1" s="1" t="s">
        <v>16</v>
      </c>
    </row>
    <row r="2" spans="1:11" ht="85.5" thickBot="1">
      <c r="A2" s="47" t="s">
        <v>163</v>
      </c>
      <c r="B2" s="47" t="s">
        <v>18</v>
      </c>
      <c r="C2" s="44" t="s">
        <v>164</v>
      </c>
      <c r="D2" s="44" t="s">
        <v>19</v>
      </c>
      <c r="E2" s="44" t="s">
        <v>390</v>
      </c>
      <c r="F2" s="47" t="s">
        <v>456</v>
      </c>
      <c r="G2" s="3" t="s">
        <v>165</v>
      </c>
      <c r="H2" s="3" t="s">
        <v>359</v>
      </c>
      <c r="I2" s="44" t="s">
        <v>21</v>
      </c>
      <c r="J2" s="8" t="s">
        <v>128</v>
      </c>
      <c r="K2" s="55"/>
    </row>
    <row r="3" spans="1:11" ht="136.5" thickBot="1">
      <c r="A3" s="49"/>
      <c r="B3" s="49"/>
      <c r="C3" s="46"/>
      <c r="D3" s="46"/>
      <c r="E3" s="46"/>
      <c r="F3" s="49"/>
      <c r="G3" s="3" t="s">
        <v>25</v>
      </c>
      <c r="H3" s="3" t="s">
        <v>26</v>
      </c>
      <c r="I3" s="46"/>
      <c r="J3" s="8" t="s">
        <v>128</v>
      </c>
      <c r="K3" s="56"/>
    </row>
    <row r="4" spans="1:11" ht="136.5" thickBot="1">
      <c r="A4" s="2" t="s">
        <v>166</v>
      </c>
      <c r="B4" s="8" t="s">
        <v>28</v>
      </c>
      <c r="C4" s="3" t="s">
        <v>167</v>
      </c>
      <c r="D4" s="3" t="s">
        <v>168</v>
      </c>
      <c r="E4" s="3" t="s">
        <v>391</v>
      </c>
      <c r="F4" s="2" t="s">
        <v>446</v>
      </c>
      <c r="G4" s="3" t="s">
        <v>169</v>
      </c>
      <c r="H4" s="3" t="s">
        <v>170</v>
      </c>
      <c r="I4" s="3" t="s">
        <v>33</v>
      </c>
      <c r="J4" s="8" t="s">
        <v>128</v>
      </c>
      <c r="K4" s="9"/>
    </row>
    <row r="5" spans="1:11" ht="170.5" thickBot="1">
      <c r="A5" s="47" t="s">
        <v>171</v>
      </c>
      <c r="B5" s="47" t="s">
        <v>36</v>
      </c>
      <c r="C5" s="44" t="s">
        <v>172</v>
      </c>
      <c r="D5" s="44" t="s">
        <v>38</v>
      </c>
      <c r="E5" s="44" t="s">
        <v>173</v>
      </c>
      <c r="F5" s="47" t="s">
        <v>447</v>
      </c>
      <c r="G5" s="3" t="s">
        <v>174</v>
      </c>
      <c r="H5" s="3" t="s">
        <v>175</v>
      </c>
      <c r="I5" s="44" t="s">
        <v>41</v>
      </c>
      <c r="J5" s="8" t="s">
        <v>128</v>
      </c>
      <c r="K5" s="9"/>
    </row>
    <row r="6" spans="1:11" ht="51.5" thickBot="1">
      <c r="A6" s="49"/>
      <c r="B6" s="49"/>
      <c r="C6" s="46"/>
      <c r="D6" s="46"/>
      <c r="E6" s="46"/>
      <c r="F6" s="49"/>
      <c r="G6" s="3" t="s">
        <v>176</v>
      </c>
      <c r="H6" s="3" t="s">
        <v>177</v>
      </c>
      <c r="I6" s="46"/>
      <c r="J6" s="8" t="s">
        <v>128</v>
      </c>
      <c r="K6" s="9"/>
    </row>
    <row r="7" spans="1:11" ht="153.5" thickBot="1">
      <c r="A7" s="47" t="s">
        <v>178</v>
      </c>
      <c r="B7" s="47" t="s">
        <v>51</v>
      </c>
      <c r="C7" s="44" t="s">
        <v>179</v>
      </c>
      <c r="D7" s="44" t="s">
        <v>38</v>
      </c>
      <c r="E7" s="44" t="s">
        <v>173</v>
      </c>
      <c r="F7" s="47" t="s">
        <v>448</v>
      </c>
      <c r="G7" s="3" t="s">
        <v>180</v>
      </c>
      <c r="H7" s="3" t="s">
        <v>175</v>
      </c>
      <c r="I7" s="44" t="s">
        <v>41</v>
      </c>
      <c r="J7" s="8" t="s">
        <v>128</v>
      </c>
      <c r="K7" s="9"/>
    </row>
    <row r="8" spans="1:11" ht="51.5" thickBot="1">
      <c r="A8" s="49"/>
      <c r="B8" s="49"/>
      <c r="C8" s="46"/>
      <c r="D8" s="46"/>
      <c r="E8" s="46"/>
      <c r="F8" s="49"/>
      <c r="G8" s="3" t="s">
        <v>176</v>
      </c>
      <c r="H8" s="3" t="s">
        <v>177</v>
      </c>
      <c r="I8" s="46"/>
      <c r="J8" s="8" t="s">
        <v>128</v>
      </c>
      <c r="K8" s="9"/>
    </row>
    <row r="9" spans="1:11" ht="102.5" thickBot="1">
      <c r="A9" s="2" t="s">
        <v>181</v>
      </c>
      <c r="B9" s="8" t="s">
        <v>57</v>
      </c>
      <c r="C9" s="3" t="s">
        <v>182</v>
      </c>
      <c r="D9" s="3" t="s">
        <v>59</v>
      </c>
      <c r="E9" s="3" t="s">
        <v>173</v>
      </c>
      <c r="F9" s="2" t="s">
        <v>449</v>
      </c>
      <c r="G9" s="3" t="s">
        <v>183</v>
      </c>
      <c r="H9" s="3" t="s">
        <v>184</v>
      </c>
      <c r="I9" s="3" t="s">
        <v>62</v>
      </c>
      <c r="J9" s="8" t="s">
        <v>128</v>
      </c>
      <c r="K9" s="9"/>
    </row>
    <row r="10" spans="1:11" ht="102.5" thickBot="1">
      <c r="A10" s="2" t="s">
        <v>185</v>
      </c>
      <c r="B10" s="8" t="s">
        <v>67</v>
      </c>
      <c r="C10" s="3" t="s">
        <v>182</v>
      </c>
      <c r="D10" s="3" t="s">
        <v>59</v>
      </c>
      <c r="E10" s="3" t="s">
        <v>173</v>
      </c>
      <c r="F10" s="2" t="s">
        <v>450</v>
      </c>
      <c r="G10" s="3" t="s">
        <v>186</v>
      </c>
      <c r="H10" s="3" t="s">
        <v>187</v>
      </c>
      <c r="I10" s="3" t="s">
        <v>62</v>
      </c>
      <c r="J10" s="8" t="s">
        <v>128</v>
      </c>
      <c r="K10" s="9"/>
    </row>
    <row r="11" spans="1:11" ht="102.5" thickBot="1">
      <c r="A11" s="2" t="s">
        <v>188</v>
      </c>
      <c r="B11" s="8" t="s">
        <v>73</v>
      </c>
      <c r="C11" s="3" t="s">
        <v>182</v>
      </c>
      <c r="D11" s="3" t="s">
        <v>59</v>
      </c>
      <c r="E11" s="3" t="s">
        <v>173</v>
      </c>
      <c r="F11" s="2" t="s">
        <v>451</v>
      </c>
      <c r="G11" s="3" t="s">
        <v>189</v>
      </c>
      <c r="H11" s="3" t="s">
        <v>190</v>
      </c>
      <c r="I11" s="3" t="s">
        <v>77</v>
      </c>
      <c r="J11" s="8" t="s">
        <v>128</v>
      </c>
      <c r="K11" s="9"/>
    </row>
    <row r="12" spans="1:11" ht="102.5" thickBot="1">
      <c r="A12" s="2" t="s">
        <v>191</v>
      </c>
      <c r="B12" s="8" t="s">
        <v>79</v>
      </c>
      <c r="C12" s="3" t="s">
        <v>182</v>
      </c>
      <c r="D12" s="3" t="s">
        <v>59</v>
      </c>
      <c r="E12" s="3" t="s">
        <v>173</v>
      </c>
      <c r="F12" s="2" t="s">
        <v>452</v>
      </c>
      <c r="G12" s="3" t="s">
        <v>192</v>
      </c>
      <c r="H12" s="3" t="s">
        <v>193</v>
      </c>
      <c r="I12" s="3" t="s">
        <v>83</v>
      </c>
      <c r="J12" s="8" t="s">
        <v>128</v>
      </c>
      <c r="K12" s="9"/>
    </row>
    <row r="13" spans="1:11" ht="102.5" thickBot="1">
      <c r="A13" s="47" t="s">
        <v>194</v>
      </c>
      <c r="B13" s="47" t="s">
        <v>195</v>
      </c>
      <c r="C13" s="44" t="s">
        <v>196</v>
      </c>
      <c r="D13" s="44" t="s">
        <v>197</v>
      </c>
      <c r="E13" s="44" t="s">
        <v>173</v>
      </c>
      <c r="F13" s="47" t="s">
        <v>453</v>
      </c>
      <c r="G13" s="3" t="s">
        <v>198</v>
      </c>
      <c r="H13" s="3" t="s">
        <v>199</v>
      </c>
      <c r="I13" s="7"/>
      <c r="J13" s="8" t="s">
        <v>128</v>
      </c>
      <c r="K13" s="9"/>
    </row>
    <row r="14" spans="1:11" ht="102.5" thickBot="1">
      <c r="A14" s="48"/>
      <c r="B14" s="48"/>
      <c r="C14" s="45"/>
      <c r="D14" s="45"/>
      <c r="E14" s="45"/>
      <c r="F14" s="48"/>
      <c r="G14" s="3" t="s">
        <v>200</v>
      </c>
      <c r="H14" s="3" t="s">
        <v>201</v>
      </c>
      <c r="I14" s="44" t="s">
        <v>202</v>
      </c>
      <c r="J14" s="8" t="s">
        <v>128</v>
      </c>
      <c r="K14" s="9"/>
    </row>
    <row r="15" spans="1:11" ht="102.5" thickBot="1">
      <c r="A15" s="49"/>
      <c r="B15" s="49"/>
      <c r="C15" s="46"/>
      <c r="D15" s="46"/>
      <c r="E15" s="46"/>
      <c r="F15" s="49"/>
      <c r="G15" s="3" t="s">
        <v>203</v>
      </c>
      <c r="H15" s="3" t="s">
        <v>199</v>
      </c>
      <c r="I15" s="46"/>
      <c r="J15" s="8" t="s">
        <v>128</v>
      </c>
      <c r="K15" s="9"/>
    </row>
    <row r="16" spans="1:11" ht="85.5" thickBot="1">
      <c r="A16" s="47" t="s">
        <v>204</v>
      </c>
      <c r="B16" s="47" t="s">
        <v>95</v>
      </c>
      <c r="C16" s="44" t="s">
        <v>205</v>
      </c>
      <c r="D16" s="44" t="s">
        <v>97</v>
      </c>
      <c r="E16" s="44" t="s">
        <v>173</v>
      </c>
      <c r="F16" s="47" t="s">
        <v>454</v>
      </c>
      <c r="G16" s="3" t="s">
        <v>150</v>
      </c>
      <c r="H16" s="3" t="s">
        <v>206</v>
      </c>
      <c r="I16" s="44" t="s">
        <v>100</v>
      </c>
      <c r="J16" s="8" t="s">
        <v>128</v>
      </c>
      <c r="K16" s="9"/>
    </row>
    <row r="17" spans="1:11" ht="102.5" thickBot="1">
      <c r="A17" s="48"/>
      <c r="B17" s="48"/>
      <c r="C17" s="45"/>
      <c r="D17" s="45"/>
      <c r="E17" s="45"/>
      <c r="F17" s="48"/>
      <c r="G17" s="3" t="s">
        <v>207</v>
      </c>
      <c r="H17" s="3" t="s">
        <v>208</v>
      </c>
      <c r="I17" s="45"/>
      <c r="J17" s="8" t="s">
        <v>128</v>
      </c>
      <c r="K17" s="9"/>
    </row>
    <row r="18" spans="1:11" ht="85.5" thickBot="1">
      <c r="A18" s="48"/>
      <c r="B18" s="48"/>
      <c r="C18" s="45"/>
      <c r="D18" s="45"/>
      <c r="E18" s="45"/>
      <c r="F18" s="48"/>
      <c r="G18" s="3" t="s">
        <v>209</v>
      </c>
      <c r="H18" s="3" t="s">
        <v>175</v>
      </c>
      <c r="I18" s="45"/>
      <c r="J18" s="8" t="s">
        <v>128</v>
      </c>
      <c r="K18" s="9"/>
    </row>
    <row r="19" spans="1:11" ht="51.5" thickBot="1">
      <c r="A19" s="49"/>
      <c r="B19" s="49"/>
      <c r="C19" s="46"/>
      <c r="D19" s="46"/>
      <c r="E19" s="46"/>
      <c r="F19" s="49"/>
      <c r="G19" s="3" t="s">
        <v>176</v>
      </c>
      <c r="H19" s="3" t="s">
        <v>177</v>
      </c>
      <c r="I19" s="46"/>
      <c r="J19" s="8" t="s">
        <v>128</v>
      </c>
      <c r="K19" s="9"/>
    </row>
    <row r="20" spans="1:11" ht="102.5" thickBot="1">
      <c r="A20" s="47" t="s">
        <v>210</v>
      </c>
      <c r="B20" s="47" t="s">
        <v>117</v>
      </c>
      <c r="C20" s="44" t="s">
        <v>118</v>
      </c>
      <c r="D20" s="44" t="s">
        <v>38</v>
      </c>
      <c r="E20" s="44" t="s">
        <v>173</v>
      </c>
      <c r="F20" s="47" t="s">
        <v>455</v>
      </c>
      <c r="G20" s="3" t="s">
        <v>153</v>
      </c>
      <c r="H20" s="3" t="s">
        <v>199</v>
      </c>
      <c r="I20" s="44" t="s">
        <v>100</v>
      </c>
      <c r="J20" s="8" t="s">
        <v>128</v>
      </c>
      <c r="K20" s="9"/>
    </row>
    <row r="21" spans="1:11" ht="119.5" thickBot="1">
      <c r="A21" s="48"/>
      <c r="B21" s="48"/>
      <c r="C21" s="45"/>
      <c r="D21" s="45"/>
      <c r="E21" s="45"/>
      <c r="F21" s="48"/>
      <c r="G21" s="3" t="s">
        <v>121</v>
      </c>
      <c r="H21" s="3" t="s">
        <v>170</v>
      </c>
      <c r="I21" s="45"/>
      <c r="J21" s="8" t="s">
        <v>128</v>
      </c>
      <c r="K21" s="9"/>
    </row>
    <row r="22" spans="1:11" ht="153.5" thickBot="1">
      <c r="A22" s="48"/>
      <c r="B22" s="48"/>
      <c r="C22" s="45"/>
      <c r="D22" s="45"/>
      <c r="E22" s="45"/>
      <c r="F22" s="48"/>
      <c r="G22" s="3" t="s">
        <v>180</v>
      </c>
      <c r="H22" s="3" t="s">
        <v>175</v>
      </c>
      <c r="I22" s="45"/>
      <c r="J22" s="8" t="s">
        <v>128</v>
      </c>
      <c r="K22" s="55"/>
    </row>
    <row r="23" spans="1:11" ht="51.5" thickBot="1">
      <c r="A23" s="49"/>
      <c r="B23" s="49"/>
      <c r="C23" s="46"/>
      <c r="D23" s="46"/>
      <c r="E23" s="46"/>
      <c r="F23" s="49"/>
      <c r="G23" s="3" t="s">
        <v>176</v>
      </c>
      <c r="H23" s="3" t="s">
        <v>177</v>
      </c>
      <c r="I23" s="46"/>
      <c r="J23" s="8" t="s">
        <v>128</v>
      </c>
      <c r="K23" s="56"/>
    </row>
    <row r="24" spans="1:11">
      <c r="A24" s="27"/>
      <c r="B24" s="27"/>
      <c r="C24" s="27"/>
      <c r="D24" s="27"/>
      <c r="E24" s="27"/>
      <c r="F24" s="27"/>
      <c r="G24" s="27"/>
      <c r="H24" s="27"/>
      <c r="I24" s="27"/>
      <c r="J24" s="27"/>
    </row>
    <row r="25" spans="1:11">
      <c r="A25" s="27"/>
      <c r="B25" s="27"/>
      <c r="C25" s="27"/>
      <c r="D25" s="27"/>
      <c r="E25" s="27"/>
      <c r="F25" s="27"/>
      <c r="G25" s="27"/>
      <c r="H25" s="27"/>
      <c r="I25" s="27"/>
      <c r="J25" s="27"/>
    </row>
    <row r="26" spans="1:11">
      <c r="A26" s="27"/>
      <c r="B26" s="27"/>
      <c r="C26" s="27"/>
      <c r="D26" s="27"/>
      <c r="E26" s="27"/>
      <c r="F26" s="27"/>
      <c r="G26" s="27"/>
      <c r="H26" s="27"/>
      <c r="I26" s="27"/>
      <c r="J26" s="27"/>
    </row>
    <row r="27" spans="1:11">
      <c r="A27" s="27"/>
      <c r="B27" s="27"/>
      <c r="C27" s="27"/>
      <c r="D27" s="27"/>
      <c r="E27" s="27"/>
      <c r="F27" s="27"/>
      <c r="G27" s="27"/>
      <c r="H27" s="27"/>
      <c r="I27" s="27"/>
      <c r="J27" s="27"/>
    </row>
    <row r="28" spans="1:11">
      <c r="A28" s="27"/>
      <c r="B28" s="27"/>
      <c r="C28" s="27"/>
      <c r="D28" s="27"/>
      <c r="E28" s="27"/>
      <c r="F28" s="27"/>
      <c r="G28" s="27"/>
      <c r="H28" s="27"/>
      <c r="I28" s="27"/>
      <c r="J28" s="27"/>
    </row>
    <row r="29" spans="1:11">
      <c r="A29" s="27"/>
      <c r="B29" s="27"/>
      <c r="C29" s="27"/>
      <c r="D29" s="27"/>
      <c r="E29" s="27"/>
      <c r="F29" s="27"/>
      <c r="G29" s="27"/>
      <c r="H29" s="27"/>
      <c r="I29" s="27"/>
      <c r="J29" s="27"/>
    </row>
    <row r="30" spans="1:11">
      <c r="A30" s="27"/>
      <c r="B30" s="27"/>
      <c r="C30" s="27"/>
      <c r="D30" s="27"/>
      <c r="E30" s="27"/>
      <c r="F30" s="27"/>
      <c r="G30" s="27"/>
      <c r="H30" s="27"/>
      <c r="I30" s="27"/>
      <c r="J30" s="27"/>
    </row>
    <row r="31" spans="1:11">
      <c r="A31" s="27"/>
      <c r="B31" s="27"/>
      <c r="C31" s="27"/>
      <c r="D31" s="27"/>
      <c r="E31" s="27"/>
      <c r="F31" s="27"/>
      <c r="G31" s="27"/>
      <c r="H31" s="27"/>
      <c r="I31" s="27"/>
      <c r="J31" s="27"/>
    </row>
    <row r="32" spans="1:11">
      <c r="A32" s="27"/>
      <c r="B32" s="27"/>
      <c r="C32" s="27"/>
      <c r="D32" s="27"/>
      <c r="E32" s="27"/>
      <c r="F32" s="27"/>
      <c r="G32" s="27"/>
      <c r="H32" s="27"/>
      <c r="I32" s="27"/>
      <c r="J32" s="27"/>
    </row>
    <row r="33" spans="1:10">
      <c r="A33" s="27"/>
      <c r="B33" s="27"/>
      <c r="C33" s="27"/>
      <c r="D33" s="27"/>
      <c r="E33" s="27"/>
      <c r="F33" s="27"/>
      <c r="G33" s="27"/>
      <c r="H33" s="27"/>
      <c r="I33" s="27"/>
      <c r="J33" s="27"/>
    </row>
    <row r="34" spans="1:10">
      <c r="A34" s="27"/>
      <c r="B34" s="27"/>
      <c r="C34" s="27"/>
      <c r="D34" s="27"/>
      <c r="E34" s="27"/>
      <c r="F34" s="27"/>
      <c r="G34" s="27"/>
      <c r="H34" s="27"/>
      <c r="I34" s="27"/>
      <c r="J34" s="27"/>
    </row>
    <row r="35" spans="1:10">
      <c r="A35" s="27"/>
      <c r="B35" s="27"/>
      <c r="C35" s="27"/>
      <c r="D35" s="27"/>
      <c r="E35" s="27"/>
      <c r="F35" s="27"/>
      <c r="G35" s="27"/>
      <c r="H35" s="27"/>
      <c r="I35" s="27"/>
      <c r="J35" s="27"/>
    </row>
    <row r="36" spans="1:10">
      <c r="A36" s="27"/>
      <c r="B36" s="27"/>
      <c r="C36" s="27"/>
      <c r="D36" s="27"/>
      <c r="E36" s="27"/>
      <c r="F36" s="27"/>
      <c r="G36" s="27"/>
      <c r="H36" s="27"/>
      <c r="I36" s="27"/>
      <c r="J36" s="27"/>
    </row>
    <row r="37" spans="1:10">
      <c r="A37" s="27"/>
      <c r="B37" s="27"/>
      <c r="C37" s="27"/>
      <c r="D37" s="27"/>
      <c r="E37" s="27"/>
      <c r="F37" s="27"/>
      <c r="G37" s="27"/>
      <c r="H37" s="27"/>
      <c r="I37" s="27"/>
      <c r="J37" s="27"/>
    </row>
    <row r="38" spans="1:10">
      <c r="A38" s="27"/>
      <c r="B38" s="27"/>
      <c r="C38" s="27"/>
      <c r="D38" s="27"/>
      <c r="E38" s="27"/>
      <c r="F38" s="27"/>
      <c r="G38" s="27"/>
      <c r="H38" s="27"/>
      <c r="I38" s="27"/>
      <c r="J38" s="27"/>
    </row>
    <row r="39" spans="1:10">
      <c r="A39" s="27"/>
      <c r="B39" s="27"/>
      <c r="C39" s="27"/>
      <c r="D39" s="27"/>
      <c r="E39" s="27"/>
      <c r="F39" s="27"/>
      <c r="G39" s="27"/>
      <c r="H39" s="27"/>
      <c r="I39" s="27"/>
      <c r="J39" s="27"/>
    </row>
    <row r="40" spans="1:10">
      <c r="A40" s="27"/>
      <c r="B40" s="27"/>
      <c r="C40" s="27"/>
      <c r="D40" s="27"/>
      <c r="E40" s="27"/>
      <c r="F40" s="27"/>
      <c r="G40" s="27"/>
      <c r="H40" s="27"/>
      <c r="I40" s="27"/>
      <c r="J40" s="27"/>
    </row>
    <row r="41" spans="1:10">
      <c r="A41" s="27"/>
      <c r="B41" s="27"/>
      <c r="C41" s="27"/>
      <c r="D41" s="27"/>
      <c r="E41" s="27"/>
      <c r="F41" s="27"/>
      <c r="G41" s="27"/>
      <c r="H41" s="27"/>
      <c r="I41" s="27"/>
      <c r="J41" s="27"/>
    </row>
    <row r="42" spans="1:10">
      <c r="A42" s="27"/>
      <c r="B42" s="27"/>
      <c r="C42" s="27"/>
      <c r="D42" s="27"/>
      <c r="E42" s="27"/>
      <c r="F42" s="27"/>
      <c r="G42" s="27"/>
      <c r="H42" s="27"/>
      <c r="I42" s="27"/>
      <c r="J42" s="27"/>
    </row>
    <row r="43" spans="1:10">
      <c r="A43" s="27"/>
      <c r="B43" s="27"/>
      <c r="C43" s="27"/>
      <c r="D43" s="27"/>
      <c r="E43" s="27"/>
      <c r="F43" s="27"/>
      <c r="G43" s="27"/>
      <c r="H43" s="27"/>
      <c r="I43" s="27"/>
      <c r="J43" s="27"/>
    </row>
    <row r="44" spans="1:10">
      <c r="A44" s="27"/>
      <c r="B44" s="27"/>
      <c r="C44" s="27"/>
      <c r="D44" s="27"/>
      <c r="E44" s="27"/>
      <c r="F44" s="27"/>
      <c r="G44" s="27"/>
      <c r="H44" s="27"/>
      <c r="I44" s="27"/>
      <c r="J44" s="27"/>
    </row>
    <row r="45" spans="1:10">
      <c r="A45" s="27"/>
      <c r="B45" s="27"/>
      <c r="C45" s="27"/>
      <c r="D45" s="27"/>
      <c r="E45" s="27"/>
      <c r="F45" s="27"/>
      <c r="G45" s="27"/>
      <c r="H45" s="27"/>
      <c r="I45" s="27"/>
      <c r="J45" s="27"/>
    </row>
    <row r="46" spans="1:10">
      <c r="A46" s="27"/>
      <c r="B46" s="27"/>
      <c r="C46" s="27"/>
      <c r="D46" s="27"/>
      <c r="E46" s="27"/>
      <c r="F46" s="27"/>
      <c r="G46" s="27"/>
      <c r="H46" s="27"/>
      <c r="I46" s="27"/>
      <c r="J46" s="27"/>
    </row>
    <row r="47" spans="1:10">
      <c r="A47" s="27"/>
      <c r="B47" s="27"/>
      <c r="C47" s="27"/>
      <c r="D47" s="27"/>
      <c r="E47" s="27"/>
      <c r="F47" s="27"/>
      <c r="G47" s="27"/>
      <c r="H47" s="27"/>
      <c r="I47" s="27"/>
      <c r="J47" s="27"/>
    </row>
    <row r="48" spans="1:10">
      <c r="A48" s="27"/>
      <c r="B48" s="27"/>
      <c r="C48" s="27"/>
      <c r="D48" s="27"/>
      <c r="E48" s="27"/>
      <c r="F48" s="27"/>
      <c r="G48" s="27"/>
      <c r="H48" s="27"/>
      <c r="I48" s="27"/>
      <c r="J48" s="27"/>
    </row>
    <row r="49" spans="1:10">
      <c r="A49" s="27"/>
      <c r="B49" s="27"/>
      <c r="C49" s="27"/>
      <c r="D49" s="27"/>
      <c r="E49" s="27"/>
      <c r="F49" s="27"/>
      <c r="G49" s="27"/>
      <c r="H49" s="27"/>
      <c r="I49" s="27"/>
      <c r="J49" s="27"/>
    </row>
    <row r="50" spans="1:10">
      <c r="A50" s="27"/>
      <c r="B50" s="27"/>
      <c r="C50" s="27"/>
      <c r="D50" s="27"/>
      <c r="E50" s="27"/>
      <c r="F50" s="27"/>
      <c r="G50" s="27"/>
      <c r="H50" s="27"/>
      <c r="I50" s="27"/>
      <c r="J50" s="27"/>
    </row>
    <row r="51" spans="1:10">
      <c r="A51" s="27"/>
      <c r="B51" s="27"/>
      <c r="C51" s="27"/>
      <c r="D51" s="27"/>
      <c r="E51" s="27"/>
      <c r="F51" s="27"/>
      <c r="G51" s="27"/>
      <c r="H51" s="27"/>
      <c r="I51" s="27"/>
      <c r="J51" s="27"/>
    </row>
    <row r="52" spans="1:10">
      <c r="A52" s="27"/>
      <c r="B52" s="27"/>
      <c r="C52" s="27"/>
      <c r="D52" s="27"/>
      <c r="E52" s="27"/>
      <c r="F52" s="27"/>
      <c r="G52" s="27"/>
      <c r="H52" s="27"/>
      <c r="I52" s="27"/>
      <c r="J52" s="27"/>
    </row>
    <row r="53" spans="1:10">
      <c r="A53" s="27"/>
      <c r="B53" s="27"/>
      <c r="C53" s="27"/>
      <c r="D53" s="27"/>
      <c r="E53" s="27"/>
      <c r="F53" s="27"/>
      <c r="G53" s="27"/>
      <c r="H53" s="27"/>
      <c r="I53" s="27"/>
      <c r="J53" s="27"/>
    </row>
    <row r="54" spans="1:10">
      <c r="A54" s="27"/>
      <c r="B54" s="27"/>
      <c r="C54" s="27"/>
      <c r="D54" s="27"/>
      <c r="E54" s="27"/>
      <c r="F54" s="27"/>
      <c r="G54" s="27"/>
      <c r="H54" s="27"/>
      <c r="I54" s="27"/>
      <c r="J54" s="27"/>
    </row>
    <row r="55" spans="1:10">
      <c r="A55" s="27"/>
      <c r="B55" s="27"/>
      <c r="C55" s="27"/>
      <c r="D55" s="27"/>
      <c r="E55" s="27"/>
      <c r="F55" s="27"/>
      <c r="G55" s="27"/>
      <c r="H55" s="27"/>
      <c r="I55" s="27"/>
      <c r="J55" s="27"/>
    </row>
    <row r="56" spans="1:10">
      <c r="A56" s="27"/>
      <c r="B56" s="27"/>
      <c r="C56" s="27"/>
      <c r="D56" s="27"/>
      <c r="E56" s="27"/>
      <c r="F56" s="27"/>
      <c r="G56" s="27"/>
      <c r="H56" s="27"/>
      <c r="I56" s="27"/>
      <c r="J56" s="27"/>
    </row>
    <row r="57" spans="1:10">
      <c r="A57" s="27"/>
      <c r="B57" s="27"/>
      <c r="C57" s="27"/>
      <c r="D57" s="27"/>
      <c r="E57" s="27"/>
      <c r="F57" s="27"/>
      <c r="G57" s="27"/>
      <c r="H57" s="27"/>
      <c r="I57" s="27"/>
      <c r="J57" s="27"/>
    </row>
    <row r="58" spans="1:10">
      <c r="A58" s="27"/>
      <c r="B58" s="27"/>
      <c r="C58" s="27"/>
      <c r="D58" s="27"/>
      <c r="E58" s="27"/>
      <c r="F58" s="27"/>
      <c r="G58" s="27"/>
      <c r="H58" s="27"/>
      <c r="I58" s="27"/>
      <c r="J58" s="27"/>
    </row>
    <row r="59" spans="1:10">
      <c r="A59" s="27"/>
      <c r="B59" s="27"/>
      <c r="C59" s="27"/>
      <c r="D59" s="27"/>
      <c r="E59" s="27"/>
      <c r="F59" s="27"/>
      <c r="G59" s="27"/>
      <c r="H59" s="27"/>
      <c r="I59" s="27"/>
      <c r="J59" s="27"/>
    </row>
    <row r="60" spans="1:10">
      <c r="A60" s="27"/>
      <c r="B60" s="27"/>
      <c r="C60" s="27"/>
      <c r="D60" s="27"/>
      <c r="E60" s="27"/>
      <c r="F60" s="27"/>
      <c r="G60" s="27"/>
      <c r="H60" s="27"/>
      <c r="I60" s="27"/>
      <c r="J60" s="27"/>
    </row>
    <row r="61" spans="1:10">
      <c r="A61" s="27"/>
      <c r="B61" s="27"/>
      <c r="C61" s="27"/>
      <c r="D61" s="27"/>
      <c r="E61" s="27"/>
      <c r="F61" s="27"/>
      <c r="G61" s="27"/>
      <c r="H61" s="27"/>
      <c r="I61" s="27"/>
      <c r="J61" s="27"/>
    </row>
    <row r="62" spans="1:10">
      <c r="A62" s="27"/>
      <c r="B62" s="27"/>
      <c r="C62" s="27"/>
      <c r="D62" s="27"/>
      <c r="E62" s="27"/>
      <c r="F62" s="27"/>
      <c r="G62" s="27"/>
      <c r="H62" s="27"/>
      <c r="I62" s="27"/>
      <c r="J62" s="27"/>
    </row>
    <row r="63" spans="1:10">
      <c r="A63" s="27"/>
      <c r="B63" s="27"/>
      <c r="C63" s="27"/>
      <c r="D63" s="27"/>
      <c r="E63" s="27"/>
      <c r="F63" s="27"/>
      <c r="G63" s="27"/>
      <c r="H63" s="27"/>
      <c r="I63" s="27"/>
      <c r="J63" s="27"/>
    </row>
    <row r="64" spans="1:10">
      <c r="A64" s="27"/>
      <c r="B64" s="27"/>
      <c r="C64" s="27"/>
      <c r="D64" s="27"/>
      <c r="E64" s="27"/>
      <c r="F64" s="27"/>
      <c r="G64" s="27"/>
      <c r="H64" s="27"/>
      <c r="I64" s="27"/>
      <c r="J64" s="27"/>
    </row>
    <row r="65" spans="1:10">
      <c r="A65" s="27"/>
      <c r="B65" s="27"/>
      <c r="C65" s="27"/>
      <c r="D65" s="27"/>
      <c r="E65" s="27"/>
      <c r="F65" s="27"/>
      <c r="G65" s="27"/>
      <c r="H65" s="27"/>
      <c r="I65" s="27"/>
      <c r="J65" s="27"/>
    </row>
    <row r="66" spans="1:10">
      <c r="A66" s="27"/>
      <c r="B66" s="27"/>
      <c r="C66" s="27"/>
      <c r="D66" s="27"/>
      <c r="E66" s="27"/>
      <c r="F66" s="27"/>
      <c r="G66" s="27"/>
      <c r="H66" s="27"/>
      <c r="I66" s="27"/>
      <c r="J66" s="27"/>
    </row>
    <row r="67" spans="1:10">
      <c r="A67" s="27"/>
      <c r="B67" s="27"/>
      <c r="C67" s="27"/>
      <c r="D67" s="27"/>
      <c r="E67" s="27"/>
      <c r="F67" s="27"/>
      <c r="G67" s="27"/>
      <c r="H67" s="27"/>
      <c r="I67" s="27"/>
      <c r="J67" s="27"/>
    </row>
    <row r="68" spans="1:10">
      <c r="A68" s="27"/>
      <c r="B68" s="27"/>
      <c r="C68" s="27"/>
      <c r="D68" s="27"/>
      <c r="E68" s="27"/>
      <c r="F68" s="27"/>
      <c r="G68" s="27"/>
      <c r="H68" s="27"/>
      <c r="I68" s="27"/>
      <c r="J68" s="27"/>
    </row>
    <row r="69" spans="1:10">
      <c r="A69" s="27"/>
      <c r="B69" s="27"/>
      <c r="C69" s="27"/>
      <c r="D69" s="27"/>
      <c r="E69" s="27"/>
      <c r="F69" s="27"/>
      <c r="G69" s="27"/>
      <c r="H69" s="27"/>
      <c r="I69" s="27"/>
      <c r="J69" s="27"/>
    </row>
    <row r="70" spans="1:10">
      <c r="A70" s="27"/>
      <c r="B70" s="27"/>
      <c r="C70" s="27"/>
      <c r="D70" s="27"/>
      <c r="E70" s="27"/>
      <c r="F70" s="27"/>
      <c r="G70" s="27"/>
      <c r="H70" s="27"/>
      <c r="I70" s="27"/>
      <c r="J70" s="27"/>
    </row>
    <row r="71" spans="1:10">
      <c r="A71" s="27"/>
      <c r="B71" s="27"/>
      <c r="C71" s="27"/>
      <c r="D71" s="27"/>
      <c r="E71" s="27"/>
      <c r="F71" s="27"/>
      <c r="G71" s="27"/>
      <c r="H71" s="27"/>
      <c r="I71" s="27"/>
      <c r="J71" s="27"/>
    </row>
    <row r="72" spans="1:10">
      <c r="A72" s="27"/>
      <c r="B72" s="27"/>
      <c r="C72" s="27"/>
      <c r="D72" s="27"/>
      <c r="E72" s="27"/>
      <c r="F72" s="27"/>
      <c r="G72" s="27"/>
      <c r="H72" s="27"/>
      <c r="I72" s="27"/>
      <c r="J72" s="27"/>
    </row>
    <row r="73" spans="1:10">
      <c r="A73" s="27"/>
      <c r="B73" s="27"/>
      <c r="C73" s="27"/>
      <c r="D73" s="27"/>
      <c r="E73" s="27"/>
      <c r="F73" s="27"/>
      <c r="G73" s="27"/>
      <c r="H73" s="27"/>
      <c r="I73" s="27"/>
      <c r="J73" s="27"/>
    </row>
    <row r="74" spans="1:10">
      <c r="A74" s="27"/>
      <c r="B74" s="27"/>
      <c r="C74" s="27"/>
      <c r="D74" s="27"/>
      <c r="E74" s="27"/>
      <c r="F74" s="27"/>
      <c r="G74" s="27"/>
      <c r="H74" s="27"/>
      <c r="I74" s="27"/>
      <c r="J74" s="27"/>
    </row>
    <row r="75" spans="1:10">
      <c r="A75" s="27"/>
      <c r="B75" s="27"/>
      <c r="C75" s="27"/>
      <c r="D75" s="27"/>
      <c r="E75" s="27"/>
      <c r="F75" s="27"/>
      <c r="G75" s="27"/>
      <c r="H75" s="27"/>
      <c r="I75" s="27"/>
      <c r="J75" s="27"/>
    </row>
    <row r="76" spans="1:10">
      <c r="A76" s="27"/>
      <c r="B76" s="27"/>
      <c r="C76" s="27"/>
      <c r="D76" s="27"/>
      <c r="E76" s="27"/>
      <c r="F76" s="27"/>
      <c r="G76" s="27"/>
      <c r="H76" s="27"/>
      <c r="I76" s="27"/>
      <c r="J76" s="27"/>
    </row>
    <row r="77" spans="1:10">
      <c r="A77" s="27"/>
      <c r="B77" s="27"/>
      <c r="C77" s="27"/>
      <c r="D77" s="27"/>
      <c r="E77" s="27"/>
      <c r="F77" s="27"/>
      <c r="G77" s="27"/>
      <c r="H77" s="27"/>
      <c r="I77" s="27"/>
      <c r="J77" s="27"/>
    </row>
    <row r="78" spans="1:10">
      <c r="A78" s="27"/>
      <c r="B78" s="27"/>
      <c r="C78" s="27"/>
      <c r="D78" s="27"/>
      <c r="E78" s="27"/>
      <c r="F78" s="27"/>
      <c r="G78" s="27"/>
      <c r="H78" s="27"/>
      <c r="I78" s="27"/>
      <c r="J78" s="27"/>
    </row>
    <row r="79" spans="1:10">
      <c r="A79" s="27"/>
      <c r="B79" s="27"/>
      <c r="C79" s="27"/>
      <c r="D79" s="27"/>
      <c r="E79" s="27"/>
      <c r="F79" s="27"/>
      <c r="G79" s="27"/>
      <c r="H79" s="27"/>
      <c r="I79" s="27"/>
      <c r="J79" s="27"/>
    </row>
    <row r="80" spans="1:10">
      <c r="A80" s="27"/>
      <c r="B80" s="27"/>
      <c r="C80" s="27"/>
      <c r="D80" s="27"/>
      <c r="E80" s="27"/>
      <c r="F80" s="27"/>
      <c r="G80" s="27"/>
      <c r="H80" s="27"/>
      <c r="I80" s="27"/>
      <c r="J80" s="27"/>
    </row>
    <row r="81" spans="1:10">
      <c r="A81" s="27"/>
      <c r="B81" s="27"/>
      <c r="C81" s="27"/>
      <c r="D81" s="27"/>
      <c r="E81" s="27"/>
      <c r="F81" s="27"/>
      <c r="G81" s="27"/>
      <c r="H81" s="27"/>
      <c r="I81" s="27"/>
      <c r="J81" s="27"/>
    </row>
    <row r="82" spans="1:10">
      <c r="A82" s="27"/>
      <c r="B82" s="27"/>
      <c r="C82" s="27"/>
      <c r="D82" s="27"/>
      <c r="E82" s="27"/>
      <c r="F82" s="27"/>
      <c r="G82" s="27"/>
      <c r="H82" s="27"/>
      <c r="I82" s="27"/>
      <c r="J82" s="27"/>
    </row>
    <row r="83" spans="1:10">
      <c r="A83" s="27"/>
      <c r="B83" s="27"/>
      <c r="C83" s="27"/>
      <c r="D83" s="27"/>
      <c r="E83" s="27"/>
      <c r="F83" s="27"/>
      <c r="G83" s="27"/>
      <c r="H83" s="27"/>
      <c r="I83" s="27"/>
      <c r="J83" s="27"/>
    </row>
    <row r="84" spans="1:10">
      <c r="A84" s="27"/>
      <c r="B84" s="27"/>
      <c r="C84" s="27"/>
      <c r="D84" s="27"/>
      <c r="E84" s="27"/>
      <c r="F84" s="27"/>
      <c r="G84" s="27"/>
      <c r="H84" s="27"/>
      <c r="I84" s="27"/>
      <c r="J84" s="27"/>
    </row>
    <row r="85" spans="1:10">
      <c r="A85" s="27"/>
      <c r="B85" s="27"/>
      <c r="C85" s="27"/>
      <c r="D85" s="27"/>
      <c r="E85" s="27"/>
      <c r="F85" s="27"/>
      <c r="G85" s="27"/>
      <c r="H85" s="27"/>
      <c r="I85" s="27"/>
      <c r="J85" s="27"/>
    </row>
    <row r="86" spans="1:10">
      <c r="A86" s="27"/>
      <c r="B86" s="27"/>
      <c r="C86" s="27"/>
      <c r="D86" s="27"/>
      <c r="E86" s="27"/>
      <c r="F86" s="27"/>
      <c r="G86" s="27"/>
      <c r="H86" s="27"/>
      <c r="I86" s="27"/>
      <c r="J86" s="27"/>
    </row>
    <row r="87" spans="1:10">
      <c r="A87" s="27"/>
      <c r="B87" s="27"/>
      <c r="C87" s="27"/>
      <c r="D87" s="27"/>
      <c r="E87" s="27"/>
      <c r="F87" s="27"/>
      <c r="G87" s="27"/>
      <c r="H87" s="27"/>
      <c r="I87" s="27"/>
      <c r="J87" s="27"/>
    </row>
    <row r="88" spans="1:10">
      <c r="A88" s="27"/>
      <c r="B88" s="27"/>
      <c r="C88" s="27"/>
      <c r="D88" s="27"/>
      <c r="E88" s="27"/>
      <c r="F88" s="27"/>
      <c r="G88" s="27"/>
      <c r="H88" s="27"/>
      <c r="I88" s="27"/>
      <c r="J88" s="27"/>
    </row>
    <row r="89" spans="1:10">
      <c r="A89" s="27"/>
      <c r="B89" s="27"/>
      <c r="C89" s="27"/>
      <c r="D89" s="27"/>
      <c r="E89" s="27"/>
      <c r="F89" s="27"/>
      <c r="G89" s="27"/>
      <c r="H89" s="27"/>
      <c r="I89" s="27"/>
      <c r="J89" s="27"/>
    </row>
    <row r="90" spans="1:10">
      <c r="A90" s="27"/>
      <c r="B90" s="27"/>
      <c r="C90" s="27"/>
      <c r="D90" s="27"/>
      <c r="E90" s="27"/>
      <c r="F90" s="27"/>
      <c r="G90" s="27"/>
      <c r="H90" s="27"/>
      <c r="I90" s="27"/>
      <c r="J90" s="27"/>
    </row>
    <row r="91" spans="1:10">
      <c r="A91" s="27"/>
      <c r="B91" s="27"/>
      <c r="C91" s="27"/>
      <c r="D91" s="27"/>
      <c r="E91" s="27"/>
      <c r="F91" s="27"/>
      <c r="G91" s="27"/>
      <c r="H91" s="27"/>
      <c r="I91" s="27"/>
      <c r="J91" s="27"/>
    </row>
    <row r="92" spans="1:10">
      <c r="A92" s="27"/>
      <c r="B92" s="27"/>
      <c r="C92" s="27"/>
      <c r="D92" s="27"/>
      <c r="E92" s="27"/>
      <c r="F92" s="27"/>
      <c r="G92" s="27"/>
      <c r="H92" s="27"/>
      <c r="I92" s="27"/>
      <c r="J92" s="27"/>
    </row>
    <row r="93" spans="1:10">
      <c r="A93" s="27"/>
      <c r="B93" s="27"/>
      <c r="C93" s="27"/>
      <c r="D93" s="27"/>
      <c r="E93" s="27"/>
      <c r="F93" s="27"/>
      <c r="G93" s="27"/>
      <c r="H93" s="27"/>
      <c r="I93" s="27"/>
      <c r="J93" s="27"/>
    </row>
    <row r="94" spans="1:10">
      <c r="A94" s="27"/>
      <c r="B94" s="27"/>
      <c r="C94" s="27"/>
      <c r="D94" s="27"/>
      <c r="E94" s="27"/>
      <c r="F94" s="27"/>
      <c r="G94" s="27"/>
      <c r="H94" s="27"/>
      <c r="I94" s="27"/>
      <c r="J94" s="27"/>
    </row>
    <row r="95" spans="1:10">
      <c r="A95" s="27"/>
      <c r="B95" s="27"/>
      <c r="C95" s="27"/>
      <c r="D95" s="27"/>
      <c r="E95" s="27"/>
      <c r="F95" s="27"/>
      <c r="G95" s="27"/>
      <c r="H95" s="27"/>
      <c r="I95" s="27"/>
      <c r="J95" s="27"/>
    </row>
    <row r="96" spans="1:10">
      <c r="A96" s="27"/>
      <c r="B96" s="27"/>
      <c r="C96" s="27"/>
      <c r="D96" s="27"/>
      <c r="E96" s="27"/>
      <c r="F96" s="27"/>
      <c r="G96" s="27"/>
      <c r="H96" s="27"/>
      <c r="I96" s="27"/>
      <c r="J96" s="27"/>
    </row>
    <row r="97" spans="1:10">
      <c r="A97" s="27"/>
      <c r="B97" s="27"/>
      <c r="C97" s="27"/>
      <c r="D97" s="27"/>
      <c r="E97" s="27"/>
      <c r="F97" s="27"/>
      <c r="G97" s="27"/>
      <c r="H97" s="27"/>
      <c r="I97" s="27"/>
      <c r="J97" s="27"/>
    </row>
    <row r="98" spans="1:10">
      <c r="A98" s="27"/>
      <c r="B98" s="27"/>
      <c r="C98" s="27"/>
      <c r="D98" s="27"/>
      <c r="E98" s="27"/>
      <c r="F98" s="27"/>
      <c r="G98" s="27"/>
      <c r="H98" s="27"/>
      <c r="I98" s="27"/>
      <c r="J98" s="27"/>
    </row>
    <row r="99" spans="1:10">
      <c r="A99" s="27"/>
      <c r="B99" s="27"/>
      <c r="C99" s="27"/>
      <c r="D99" s="27"/>
      <c r="E99" s="27"/>
      <c r="F99" s="27"/>
      <c r="G99" s="27"/>
      <c r="H99" s="27"/>
      <c r="I99" s="27"/>
      <c r="J99" s="27"/>
    </row>
    <row r="100" spans="1:10">
      <c r="A100" s="27"/>
      <c r="B100" s="27"/>
      <c r="C100" s="27"/>
      <c r="D100" s="27"/>
      <c r="E100" s="27"/>
      <c r="F100" s="27"/>
      <c r="G100" s="27"/>
      <c r="H100" s="27"/>
      <c r="I100" s="27"/>
      <c r="J100" s="27"/>
    </row>
    <row r="101" spans="1:10">
      <c r="A101" s="27"/>
      <c r="B101" s="27"/>
      <c r="C101" s="27"/>
      <c r="D101" s="27"/>
      <c r="E101" s="27"/>
      <c r="F101" s="27"/>
      <c r="G101" s="27"/>
      <c r="H101" s="27"/>
      <c r="I101" s="27"/>
      <c r="J101" s="27"/>
    </row>
    <row r="102" spans="1:10">
      <c r="A102" s="27"/>
      <c r="B102" s="27"/>
      <c r="C102" s="27"/>
      <c r="D102" s="27"/>
      <c r="E102" s="27"/>
      <c r="F102" s="27"/>
      <c r="G102" s="27"/>
      <c r="H102" s="27"/>
      <c r="I102" s="27"/>
      <c r="J102" s="27"/>
    </row>
    <row r="103" spans="1:10">
      <c r="A103" s="27"/>
      <c r="B103" s="27"/>
      <c r="C103" s="27"/>
      <c r="D103" s="27"/>
      <c r="E103" s="27"/>
      <c r="F103" s="27"/>
      <c r="G103" s="27"/>
      <c r="H103" s="27"/>
      <c r="I103" s="27"/>
      <c r="J103" s="27"/>
    </row>
    <row r="104" spans="1:10">
      <c r="A104" s="27"/>
      <c r="B104" s="27"/>
      <c r="C104" s="27"/>
      <c r="D104" s="27"/>
      <c r="E104" s="27"/>
      <c r="F104" s="27"/>
      <c r="G104" s="27"/>
      <c r="H104" s="27"/>
      <c r="I104" s="27"/>
      <c r="J104" s="27"/>
    </row>
    <row r="105" spans="1:10">
      <c r="A105" s="27"/>
      <c r="B105" s="27"/>
      <c r="C105" s="27"/>
      <c r="D105" s="27"/>
      <c r="E105" s="27"/>
      <c r="F105" s="27"/>
      <c r="G105" s="27"/>
      <c r="H105" s="27"/>
      <c r="I105" s="27"/>
      <c r="J105" s="27"/>
    </row>
    <row r="106" spans="1:10">
      <c r="A106" s="27"/>
      <c r="B106" s="27"/>
      <c r="C106" s="27"/>
      <c r="D106" s="27"/>
      <c r="E106" s="27"/>
      <c r="F106" s="27"/>
      <c r="G106" s="27"/>
      <c r="H106" s="27"/>
      <c r="I106" s="27"/>
      <c r="J106" s="27"/>
    </row>
    <row r="107" spans="1:10">
      <c r="A107" s="27"/>
      <c r="B107" s="27"/>
      <c r="C107" s="27"/>
      <c r="D107" s="27"/>
      <c r="E107" s="27"/>
      <c r="F107" s="27"/>
      <c r="G107" s="27"/>
      <c r="H107" s="27"/>
      <c r="I107" s="27"/>
      <c r="J107" s="27"/>
    </row>
    <row r="108" spans="1:10">
      <c r="A108" s="27"/>
      <c r="B108" s="27"/>
      <c r="C108" s="27"/>
      <c r="D108" s="27"/>
      <c r="E108" s="27"/>
      <c r="F108" s="27"/>
      <c r="G108" s="27"/>
      <c r="H108" s="27"/>
      <c r="I108" s="27"/>
      <c r="J108" s="27"/>
    </row>
    <row r="109" spans="1:10">
      <c r="A109" s="27"/>
      <c r="B109" s="27"/>
      <c r="C109" s="27"/>
      <c r="D109" s="27"/>
      <c r="E109" s="27"/>
      <c r="F109" s="27"/>
      <c r="G109" s="27"/>
      <c r="H109" s="27"/>
      <c r="I109" s="27"/>
      <c r="J109" s="27"/>
    </row>
    <row r="110" spans="1:10">
      <c r="A110" s="27"/>
      <c r="B110" s="27"/>
      <c r="C110" s="27"/>
      <c r="D110" s="27"/>
      <c r="E110" s="27"/>
      <c r="F110" s="27"/>
      <c r="G110" s="27"/>
      <c r="H110" s="27"/>
      <c r="I110" s="27"/>
      <c r="J110" s="27"/>
    </row>
    <row r="111" spans="1:10">
      <c r="A111" s="27"/>
      <c r="B111" s="27"/>
      <c r="C111" s="27"/>
      <c r="D111" s="27"/>
      <c r="E111" s="27"/>
      <c r="F111" s="27"/>
      <c r="G111" s="27"/>
      <c r="H111" s="27"/>
      <c r="I111" s="27"/>
      <c r="J111" s="27"/>
    </row>
    <row r="112" spans="1:10">
      <c r="A112" s="27"/>
      <c r="B112" s="27"/>
      <c r="C112" s="27"/>
      <c r="D112" s="27"/>
      <c r="E112" s="27"/>
      <c r="F112" s="27"/>
      <c r="G112" s="27"/>
      <c r="H112" s="27"/>
      <c r="I112" s="27"/>
      <c r="J112" s="27"/>
    </row>
    <row r="113" spans="1:10">
      <c r="A113" s="27"/>
      <c r="B113" s="27"/>
      <c r="C113" s="27"/>
      <c r="D113" s="27"/>
      <c r="E113" s="27"/>
      <c r="F113" s="27"/>
      <c r="G113" s="27"/>
      <c r="H113" s="27"/>
      <c r="I113" s="27"/>
      <c r="J113" s="27"/>
    </row>
    <row r="114" spans="1:10">
      <c r="A114" s="27"/>
      <c r="B114" s="27"/>
      <c r="C114" s="27"/>
      <c r="D114" s="27"/>
      <c r="E114" s="27"/>
      <c r="F114" s="27"/>
      <c r="G114" s="27"/>
      <c r="H114" s="27"/>
      <c r="I114" s="27"/>
      <c r="J114" s="27"/>
    </row>
    <row r="115" spans="1:10">
      <c r="A115" s="27"/>
      <c r="B115" s="27"/>
      <c r="C115" s="27"/>
      <c r="D115" s="27"/>
      <c r="E115" s="27"/>
      <c r="F115" s="27"/>
      <c r="G115" s="27"/>
      <c r="H115" s="27"/>
      <c r="I115" s="27"/>
      <c r="J115" s="27"/>
    </row>
    <row r="116" spans="1:10">
      <c r="A116" s="27"/>
      <c r="B116" s="27"/>
      <c r="C116" s="27"/>
      <c r="D116" s="27"/>
      <c r="E116" s="27"/>
      <c r="F116" s="27"/>
      <c r="G116" s="27"/>
      <c r="H116" s="27"/>
      <c r="I116" s="27"/>
      <c r="J116" s="27"/>
    </row>
    <row r="117" spans="1:10">
      <c r="A117" s="27"/>
      <c r="B117" s="27"/>
      <c r="C117" s="27"/>
      <c r="D117" s="27"/>
      <c r="E117" s="27"/>
      <c r="F117" s="27"/>
      <c r="G117" s="27"/>
      <c r="H117" s="27"/>
      <c r="I117" s="27"/>
      <c r="J117" s="27"/>
    </row>
    <row r="118" spans="1:10">
      <c r="A118" s="27"/>
      <c r="B118" s="27"/>
      <c r="C118" s="27"/>
      <c r="D118" s="27"/>
      <c r="E118" s="27"/>
      <c r="F118" s="27"/>
      <c r="G118" s="27"/>
      <c r="H118" s="27"/>
      <c r="I118" s="27"/>
      <c r="J118" s="27"/>
    </row>
    <row r="119" spans="1:10">
      <c r="A119" s="27"/>
      <c r="B119" s="27"/>
      <c r="C119" s="27"/>
      <c r="D119" s="27"/>
      <c r="E119" s="27"/>
      <c r="F119" s="27"/>
      <c r="G119" s="27"/>
      <c r="H119" s="27"/>
      <c r="I119" s="27"/>
      <c r="J119" s="27"/>
    </row>
    <row r="120" spans="1:10">
      <c r="A120" s="27"/>
      <c r="B120" s="27"/>
      <c r="C120" s="27"/>
      <c r="D120" s="27"/>
      <c r="E120" s="27"/>
      <c r="F120" s="27"/>
      <c r="G120" s="27"/>
      <c r="H120" s="27"/>
      <c r="I120" s="27"/>
      <c r="J120" s="27"/>
    </row>
    <row r="121" spans="1:10">
      <c r="A121" s="27"/>
      <c r="B121" s="27"/>
      <c r="C121" s="27"/>
      <c r="D121" s="27"/>
      <c r="E121" s="27"/>
      <c r="F121" s="27"/>
      <c r="G121" s="27"/>
      <c r="H121" s="27"/>
      <c r="I121" s="27"/>
      <c r="J121" s="27"/>
    </row>
    <row r="122" spans="1:10">
      <c r="A122" s="27"/>
      <c r="B122" s="27"/>
      <c r="C122" s="27"/>
      <c r="D122" s="27"/>
      <c r="E122" s="27"/>
      <c r="F122" s="27"/>
      <c r="G122" s="27"/>
      <c r="H122" s="27"/>
      <c r="I122" s="27"/>
      <c r="J122" s="27"/>
    </row>
    <row r="123" spans="1:10">
      <c r="A123" s="27"/>
      <c r="B123" s="27"/>
      <c r="C123" s="27"/>
      <c r="D123" s="27"/>
      <c r="E123" s="27"/>
      <c r="F123" s="27"/>
      <c r="G123" s="27"/>
      <c r="H123" s="27"/>
      <c r="I123" s="27"/>
      <c r="J123" s="27"/>
    </row>
    <row r="124" spans="1:10">
      <c r="A124" s="27"/>
      <c r="B124" s="27"/>
      <c r="C124" s="27"/>
      <c r="D124" s="27"/>
      <c r="E124" s="27"/>
      <c r="F124" s="27"/>
      <c r="G124" s="27"/>
      <c r="H124" s="27"/>
      <c r="I124" s="27"/>
      <c r="J124" s="27"/>
    </row>
    <row r="125" spans="1:10">
      <c r="A125" s="27"/>
      <c r="B125" s="27"/>
      <c r="C125" s="27"/>
      <c r="D125" s="27"/>
      <c r="E125" s="27"/>
      <c r="F125" s="27"/>
      <c r="G125" s="27"/>
      <c r="H125" s="27"/>
      <c r="I125" s="27"/>
      <c r="J125" s="27"/>
    </row>
    <row r="126" spans="1:10">
      <c r="A126" s="27"/>
      <c r="B126" s="27"/>
      <c r="C126" s="27"/>
      <c r="D126" s="27"/>
      <c r="E126" s="27"/>
      <c r="F126" s="27"/>
      <c r="G126" s="27"/>
      <c r="H126" s="27"/>
      <c r="I126" s="27"/>
      <c r="J126" s="27"/>
    </row>
    <row r="127" spans="1:10">
      <c r="A127" s="27"/>
      <c r="B127" s="27"/>
      <c r="C127" s="27"/>
      <c r="D127" s="27"/>
      <c r="E127" s="27"/>
      <c r="F127" s="27"/>
      <c r="G127" s="27"/>
      <c r="H127" s="27"/>
      <c r="I127" s="27"/>
      <c r="J127" s="27"/>
    </row>
    <row r="128" spans="1:10">
      <c r="A128" s="27"/>
      <c r="B128" s="27"/>
      <c r="C128" s="27"/>
      <c r="D128" s="27"/>
      <c r="E128" s="27"/>
      <c r="F128" s="27"/>
      <c r="G128" s="27"/>
      <c r="H128" s="27"/>
      <c r="I128" s="27"/>
      <c r="J128" s="27"/>
    </row>
    <row r="129" spans="1:10">
      <c r="A129" s="27"/>
      <c r="B129" s="27"/>
      <c r="C129" s="27"/>
      <c r="D129" s="27"/>
      <c r="E129" s="27"/>
      <c r="F129" s="27"/>
      <c r="G129" s="27"/>
      <c r="H129" s="27"/>
      <c r="I129" s="27"/>
      <c r="J129" s="27"/>
    </row>
    <row r="130" spans="1:10">
      <c r="A130" s="27"/>
      <c r="B130" s="27"/>
      <c r="C130" s="27"/>
      <c r="D130" s="27"/>
      <c r="E130" s="27"/>
      <c r="F130" s="27"/>
      <c r="G130" s="27"/>
      <c r="H130" s="27"/>
      <c r="I130" s="27"/>
      <c r="J130" s="27"/>
    </row>
    <row r="131" spans="1:10">
      <c r="A131" s="27"/>
      <c r="B131" s="27"/>
      <c r="C131" s="27"/>
      <c r="D131" s="27"/>
      <c r="E131" s="27"/>
      <c r="F131" s="27"/>
      <c r="G131" s="27"/>
      <c r="H131" s="27"/>
      <c r="I131" s="27"/>
      <c r="J131" s="27"/>
    </row>
    <row r="132" spans="1:10">
      <c r="A132" s="27"/>
      <c r="B132" s="27"/>
      <c r="C132" s="27"/>
      <c r="D132" s="27"/>
      <c r="E132" s="27"/>
      <c r="F132" s="27"/>
      <c r="G132" s="27"/>
      <c r="H132" s="27"/>
      <c r="I132" s="27"/>
      <c r="J132" s="27"/>
    </row>
    <row r="133" spans="1:10">
      <c r="A133" s="27"/>
      <c r="B133" s="27"/>
      <c r="C133" s="27"/>
      <c r="D133" s="27"/>
      <c r="E133" s="27"/>
      <c r="F133" s="27"/>
      <c r="G133" s="27"/>
      <c r="H133" s="27"/>
      <c r="I133" s="27"/>
      <c r="J133" s="27"/>
    </row>
    <row r="134" spans="1:10">
      <c r="A134" s="27"/>
      <c r="B134" s="27"/>
      <c r="C134" s="27"/>
      <c r="D134" s="27"/>
      <c r="E134" s="27"/>
      <c r="F134" s="27"/>
      <c r="G134" s="27"/>
      <c r="H134" s="27"/>
      <c r="I134" s="27"/>
      <c r="J134" s="27"/>
    </row>
    <row r="135" spans="1:10">
      <c r="A135" s="27"/>
      <c r="B135" s="27"/>
      <c r="C135" s="27"/>
      <c r="D135" s="27"/>
      <c r="E135" s="27"/>
      <c r="F135" s="27"/>
      <c r="G135" s="27"/>
      <c r="H135" s="27"/>
      <c r="I135" s="27"/>
      <c r="J135" s="27"/>
    </row>
    <row r="136" spans="1:10">
      <c r="A136" s="27"/>
      <c r="B136" s="27"/>
      <c r="C136" s="27"/>
      <c r="D136" s="27"/>
      <c r="E136" s="27"/>
      <c r="F136" s="27"/>
      <c r="G136" s="27"/>
      <c r="H136" s="27"/>
      <c r="I136" s="27"/>
      <c r="J136" s="27"/>
    </row>
    <row r="137" spans="1:10">
      <c r="A137" s="27"/>
      <c r="B137" s="27"/>
      <c r="C137" s="27"/>
      <c r="D137" s="27"/>
      <c r="E137" s="27"/>
      <c r="F137" s="27"/>
      <c r="G137" s="27"/>
      <c r="H137" s="27"/>
      <c r="I137" s="27"/>
      <c r="J137" s="27"/>
    </row>
    <row r="138" spans="1:10">
      <c r="A138" s="27"/>
      <c r="B138" s="27"/>
      <c r="C138" s="27"/>
      <c r="D138" s="27"/>
      <c r="E138" s="27"/>
      <c r="F138" s="27"/>
      <c r="G138" s="27"/>
      <c r="H138" s="27"/>
      <c r="I138" s="27"/>
      <c r="J138" s="27"/>
    </row>
    <row r="139" spans="1:10">
      <c r="A139" s="27"/>
      <c r="B139" s="27"/>
      <c r="C139" s="27"/>
      <c r="D139" s="27"/>
      <c r="E139" s="27"/>
      <c r="F139" s="27"/>
      <c r="G139" s="27"/>
      <c r="H139" s="27"/>
      <c r="I139" s="27"/>
      <c r="J139" s="27"/>
    </row>
    <row r="140" spans="1:10">
      <c r="A140" s="27"/>
      <c r="B140" s="27"/>
      <c r="C140" s="27"/>
      <c r="D140" s="27"/>
      <c r="E140" s="27"/>
      <c r="F140" s="27"/>
      <c r="G140" s="27"/>
      <c r="H140" s="27"/>
      <c r="I140" s="27"/>
      <c r="J140" s="27"/>
    </row>
    <row r="141" spans="1:10">
      <c r="A141" s="27"/>
      <c r="B141" s="27"/>
      <c r="C141" s="27"/>
      <c r="D141" s="27"/>
      <c r="E141" s="27"/>
      <c r="F141" s="27"/>
      <c r="G141" s="27"/>
      <c r="H141" s="27"/>
      <c r="I141" s="27"/>
      <c r="J141" s="27"/>
    </row>
    <row r="142" spans="1:10">
      <c r="A142" s="27"/>
      <c r="B142" s="27"/>
      <c r="C142" s="27"/>
      <c r="D142" s="27"/>
      <c r="E142" s="27"/>
      <c r="F142" s="27"/>
      <c r="G142" s="27"/>
      <c r="H142" s="27"/>
      <c r="I142" s="27"/>
      <c r="J142" s="27"/>
    </row>
    <row r="143" spans="1:10">
      <c r="A143" s="27"/>
      <c r="B143" s="27"/>
      <c r="C143" s="27"/>
      <c r="D143" s="27"/>
      <c r="E143" s="27"/>
      <c r="F143" s="27"/>
      <c r="G143" s="27"/>
      <c r="H143" s="27"/>
      <c r="I143" s="27"/>
      <c r="J143" s="27"/>
    </row>
    <row r="144" spans="1:10">
      <c r="A144" s="27"/>
      <c r="B144" s="27"/>
      <c r="C144" s="27"/>
      <c r="D144" s="27"/>
      <c r="E144" s="27"/>
      <c r="F144" s="27"/>
      <c r="G144" s="27"/>
      <c r="H144" s="27"/>
      <c r="I144" s="27"/>
      <c r="J144" s="27"/>
    </row>
    <row r="145" spans="1:10">
      <c r="A145" s="27"/>
      <c r="B145" s="27"/>
      <c r="C145" s="27"/>
      <c r="D145" s="27"/>
      <c r="E145" s="27"/>
      <c r="F145" s="27"/>
      <c r="G145" s="27"/>
      <c r="H145" s="27"/>
      <c r="I145" s="27"/>
      <c r="J145" s="27"/>
    </row>
    <row r="146" spans="1:10">
      <c r="A146" s="27"/>
      <c r="B146" s="27"/>
      <c r="C146" s="27"/>
      <c r="D146" s="27"/>
      <c r="E146" s="27"/>
      <c r="F146" s="27"/>
      <c r="G146" s="27"/>
      <c r="H146" s="27"/>
      <c r="I146" s="27"/>
      <c r="J146" s="27"/>
    </row>
    <row r="147" spans="1:10">
      <c r="A147" s="27"/>
      <c r="B147" s="27"/>
      <c r="C147" s="27"/>
      <c r="D147" s="27"/>
      <c r="E147" s="27"/>
      <c r="F147" s="27"/>
      <c r="G147" s="27"/>
      <c r="H147" s="27"/>
      <c r="I147" s="27"/>
      <c r="J147" s="27"/>
    </row>
    <row r="148" spans="1:10">
      <c r="A148" s="27"/>
      <c r="B148" s="27"/>
      <c r="C148" s="27"/>
      <c r="D148" s="27"/>
      <c r="E148" s="27"/>
      <c r="F148" s="27"/>
      <c r="G148" s="27"/>
      <c r="H148" s="27"/>
      <c r="I148" s="27"/>
      <c r="J148" s="27"/>
    </row>
    <row r="149" spans="1:10">
      <c r="A149" s="27"/>
      <c r="B149" s="27"/>
      <c r="C149" s="27"/>
      <c r="D149" s="27"/>
      <c r="E149" s="27"/>
      <c r="F149" s="27"/>
      <c r="G149" s="27"/>
      <c r="H149" s="27"/>
      <c r="I149" s="27"/>
      <c r="J149" s="27"/>
    </row>
    <row r="150" spans="1:10">
      <c r="A150" s="27"/>
      <c r="B150" s="27"/>
      <c r="C150" s="27"/>
      <c r="D150" s="27"/>
      <c r="E150" s="27"/>
      <c r="F150" s="27"/>
      <c r="G150" s="27"/>
      <c r="H150" s="27"/>
      <c r="I150" s="27"/>
      <c r="J150" s="27"/>
    </row>
    <row r="151" spans="1:10">
      <c r="A151" s="27"/>
      <c r="B151" s="27"/>
      <c r="C151" s="27"/>
      <c r="D151" s="27"/>
      <c r="E151" s="27"/>
      <c r="F151" s="27"/>
      <c r="G151" s="27"/>
      <c r="H151" s="27"/>
      <c r="I151" s="27"/>
      <c r="J151" s="27"/>
    </row>
    <row r="152" spans="1:10">
      <c r="A152" s="27"/>
      <c r="B152" s="27"/>
      <c r="C152" s="27"/>
      <c r="D152" s="27"/>
      <c r="E152" s="27"/>
      <c r="F152" s="27"/>
      <c r="G152" s="27"/>
      <c r="H152" s="27"/>
      <c r="I152" s="27"/>
      <c r="J152" s="27"/>
    </row>
    <row r="153" spans="1:10">
      <c r="A153" s="27"/>
      <c r="B153" s="27"/>
      <c r="C153" s="27"/>
      <c r="D153" s="27"/>
      <c r="E153" s="27"/>
      <c r="F153" s="27"/>
      <c r="G153" s="27"/>
      <c r="H153" s="27"/>
      <c r="I153" s="27"/>
      <c r="J153" s="27"/>
    </row>
    <row r="154" spans="1:10">
      <c r="A154" s="27"/>
      <c r="B154" s="27"/>
      <c r="C154" s="27"/>
      <c r="D154" s="27"/>
      <c r="E154" s="27"/>
      <c r="F154" s="27"/>
      <c r="G154" s="27"/>
      <c r="H154" s="27"/>
      <c r="I154" s="27"/>
      <c r="J154" s="27"/>
    </row>
    <row r="155" spans="1:10">
      <c r="A155" s="27"/>
      <c r="B155" s="27"/>
      <c r="C155" s="27"/>
      <c r="D155" s="27"/>
      <c r="E155" s="27"/>
      <c r="F155" s="27"/>
      <c r="G155" s="27"/>
      <c r="H155" s="27"/>
      <c r="I155" s="27"/>
      <c r="J155" s="27"/>
    </row>
    <row r="156" spans="1:10">
      <c r="A156" s="27"/>
      <c r="B156" s="27"/>
      <c r="C156" s="27"/>
      <c r="D156" s="27"/>
      <c r="E156" s="27"/>
      <c r="F156" s="27"/>
      <c r="G156" s="27"/>
      <c r="H156" s="27"/>
      <c r="I156" s="27"/>
      <c r="J156" s="27"/>
    </row>
    <row r="157" spans="1:10">
      <c r="A157" s="27"/>
      <c r="B157" s="27"/>
      <c r="C157" s="27"/>
      <c r="D157" s="27"/>
      <c r="E157" s="27"/>
      <c r="F157" s="27"/>
      <c r="G157" s="27"/>
      <c r="H157" s="27"/>
      <c r="I157" s="27"/>
      <c r="J157" s="27"/>
    </row>
    <row r="158" spans="1:10">
      <c r="A158" s="27"/>
      <c r="B158" s="27"/>
      <c r="C158" s="27"/>
      <c r="D158" s="27"/>
      <c r="E158" s="27"/>
      <c r="F158" s="27"/>
      <c r="G158" s="27"/>
      <c r="H158" s="27"/>
      <c r="I158" s="27"/>
      <c r="J158" s="27"/>
    </row>
    <row r="159" spans="1:10">
      <c r="A159" s="27"/>
      <c r="B159" s="27"/>
      <c r="C159" s="27"/>
      <c r="D159" s="27"/>
      <c r="E159" s="27"/>
      <c r="F159" s="27"/>
      <c r="G159" s="27"/>
      <c r="H159" s="27"/>
      <c r="I159" s="27"/>
      <c r="J159" s="27"/>
    </row>
    <row r="160" spans="1:10">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row r="217" spans="1:10">
      <c r="A217" s="27"/>
      <c r="B217" s="27"/>
      <c r="C217" s="27"/>
      <c r="D217" s="27"/>
      <c r="E217" s="27"/>
      <c r="F217" s="27"/>
      <c r="G217" s="27"/>
      <c r="H217" s="27"/>
      <c r="I217" s="27"/>
      <c r="J217" s="27"/>
    </row>
    <row r="218" spans="1:10">
      <c r="A218" s="27"/>
      <c r="B218" s="27"/>
      <c r="C218" s="27"/>
      <c r="D218" s="27"/>
      <c r="E218" s="27"/>
      <c r="F218" s="27"/>
      <c r="G218" s="27"/>
      <c r="H218" s="27"/>
      <c r="I218" s="27"/>
      <c r="J218" s="27"/>
    </row>
    <row r="219" spans="1:10">
      <c r="A219" s="27"/>
      <c r="B219" s="27"/>
      <c r="C219" s="27"/>
      <c r="D219" s="27"/>
      <c r="E219" s="27"/>
      <c r="F219" s="27"/>
      <c r="G219" s="27"/>
      <c r="H219" s="27"/>
      <c r="I219" s="27"/>
      <c r="J219" s="27"/>
    </row>
    <row r="220" spans="1:10">
      <c r="A220" s="27"/>
      <c r="B220" s="27"/>
      <c r="C220" s="27"/>
      <c r="D220" s="27"/>
      <c r="E220" s="27"/>
      <c r="F220" s="27"/>
      <c r="G220" s="27"/>
      <c r="H220" s="27"/>
      <c r="I220" s="27"/>
      <c r="J220" s="27"/>
    </row>
  </sheetData>
  <mergeCells count="44">
    <mergeCell ref="F2:F3"/>
    <mergeCell ref="F5:F6"/>
    <mergeCell ref="F7:F8"/>
    <mergeCell ref="F13:F15"/>
    <mergeCell ref="F16:F19"/>
    <mergeCell ref="K22:K23"/>
    <mergeCell ref="A20:A23"/>
    <mergeCell ref="B20:B23"/>
    <mergeCell ref="C20:C23"/>
    <mergeCell ref="D20:D23"/>
    <mergeCell ref="E20:E23"/>
    <mergeCell ref="I20:I23"/>
    <mergeCell ref="F20:F23"/>
    <mergeCell ref="E7:E8"/>
    <mergeCell ref="I16:I19"/>
    <mergeCell ref="A13:A15"/>
    <mergeCell ref="B13:B15"/>
    <mergeCell ref="C13:C15"/>
    <mergeCell ref="D13:D15"/>
    <mergeCell ref="E13:E15"/>
    <mergeCell ref="I14:I15"/>
    <mergeCell ref="A16:A19"/>
    <mergeCell ref="B16:B19"/>
    <mergeCell ref="C16:C19"/>
    <mergeCell ref="D16:D19"/>
    <mergeCell ref="E16:E19"/>
    <mergeCell ref="I7:I8"/>
    <mergeCell ref="A7:A8"/>
    <mergeCell ref="B7:B8"/>
    <mergeCell ref="K2:K3"/>
    <mergeCell ref="A5:A6"/>
    <mergeCell ref="B5:B6"/>
    <mergeCell ref="C5:C6"/>
    <mergeCell ref="D5:D6"/>
    <mergeCell ref="E5:E6"/>
    <mergeCell ref="I5:I6"/>
    <mergeCell ref="A2:A3"/>
    <mergeCell ref="B2:B3"/>
    <mergeCell ref="C2:C3"/>
    <mergeCell ref="D2:D3"/>
    <mergeCell ref="E2:E3"/>
    <mergeCell ref="I2:I3"/>
    <mergeCell ref="C7:C8"/>
    <mergeCell ref="D7:D8"/>
  </mergeCells>
  <phoneticPr fontId="1" type="noConversion"/>
  <conditionalFormatting sqref="A1:E23 G1:K23">
    <cfRule type="containsText" dxfId="27" priority="3" operator="containsText" text="TBD">
      <formula>NOT(ISERROR(SEARCH("TBD",A1)))</formula>
    </cfRule>
  </conditionalFormatting>
  <conditionalFormatting sqref="F2:F23">
    <cfRule type="containsText" dxfId="26" priority="2" operator="containsText" text="TBD">
      <formula>NOT(ISERROR(SEARCH("TBD",F2)))</formula>
    </cfRule>
  </conditionalFormatting>
  <conditionalFormatting sqref="F1">
    <cfRule type="containsText" dxfId="25" priority="1" operator="containsText" text="TBD">
      <formula>NOT(ISERROR(SEARCH("TBD",F1)))</formula>
    </cfRule>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B3A87-78D4-48A9-8661-9106DEE143B0}">
  <dimension ref="A1:K220"/>
  <sheetViews>
    <sheetView zoomScale="65" zoomScaleNormal="65" workbookViewId="0">
      <selection activeCell="G6" sqref="A1:K42"/>
    </sheetView>
  </sheetViews>
  <sheetFormatPr defaultColWidth="52.9140625" defaultRowHeight="17"/>
  <cols>
    <col min="1" max="1" width="15.9140625" customWidth="1"/>
    <col min="2" max="2" width="28.5" bestFit="1" customWidth="1"/>
    <col min="4" max="4" width="39.6640625" bestFit="1" customWidth="1"/>
    <col min="5" max="5" width="22.6640625" bestFit="1" customWidth="1"/>
    <col min="6" max="6" width="15.9140625" customWidth="1"/>
    <col min="9" max="9" width="52.5" bestFit="1" customWidth="1"/>
    <col min="10" max="10" width="9.33203125" bestFit="1" customWidth="1"/>
    <col min="11" max="11" width="43.75" bestFit="1" customWidth="1"/>
  </cols>
  <sheetData>
    <row r="1" spans="1:11" ht="17.5" thickBot="1">
      <c r="A1" s="24" t="s">
        <v>418</v>
      </c>
      <c r="B1" s="1" t="s">
        <v>11</v>
      </c>
      <c r="C1" s="1" t="s">
        <v>12</v>
      </c>
      <c r="D1" s="1" t="s">
        <v>13</v>
      </c>
      <c r="E1" s="22" t="s">
        <v>408</v>
      </c>
      <c r="F1" s="22" t="s">
        <v>422</v>
      </c>
      <c r="G1" s="22" t="s">
        <v>417</v>
      </c>
      <c r="H1" s="22" t="s">
        <v>407</v>
      </c>
      <c r="I1" s="1" t="s">
        <v>14</v>
      </c>
      <c r="J1" s="1" t="s">
        <v>15</v>
      </c>
      <c r="K1" s="1" t="s">
        <v>16</v>
      </c>
    </row>
    <row r="2" spans="1:11" ht="85.5" thickBot="1">
      <c r="A2" s="47" t="s">
        <v>211</v>
      </c>
      <c r="B2" s="47" t="s">
        <v>18</v>
      </c>
      <c r="C2" s="44" t="s">
        <v>212</v>
      </c>
      <c r="D2" s="44" t="s">
        <v>213</v>
      </c>
      <c r="E2" s="57" t="s">
        <v>425</v>
      </c>
      <c r="F2" s="47" t="s">
        <v>432</v>
      </c>
      <c r="G2" s="10" t="s">
        <v>215</v>
      </c>
      <c r="H2" s="3" t="s">
        <v>359</v>
      </c>
      <c r="I2" s="44" t="s">
        <v>216</v>
      </c>
      <c r="J2" s="8" t="s">
        <v>128</v>
      </c>
      <c r="K2" s="11" t="s">
        <v>217</v>
      </c>
    </row>
    <row r="3" spans="1:11" ht="102.5" thickBot="1">
      <c r="A3" s="49"/>
      <c r="B3" s="49"/>
      <c r="C3" s="46"/>
      <c r="D3" s="46"/>
      <c r="E3" s="46"/>
      <c r="F3" s="49"/>
      <c r="G3" s="10" t="s">
        <v>218</v>
      </c>
      <c r="H3" s="3" t="s">
        <v>199</v>
      </c>
      <c r="I3" s="46"/>
      <c r="J3" s="8" t="s">
        <v>128</v>
      </c>
      <c r="K3" s="9"/>
    </row>
    <row r="4" spans="1:11" ht="102.5" thickBot="1">
      <c r="A4" s="47" t="s">
        <v>219</v>
      </c>
      <c r="B4" s="47" t="s">
        <v>195</v>
      </c>
      <c r="C4" s="44" t="s">
        <v>220</v>
      </c>
      <c r="D4" s="44" t="s">
        <v>197</v>
      </c>
      <c r="E4" s="44" t="s">
        <v>214</v>
      </c>
      <c r="F4" s="47" t="s">
        <v>433</v>
      </c>
      <c r="G4" s="3" t="s">
        <v>221</v>
      </c>
      <c r="H4" s="3" t="s">
        <v>222</v>
      </c>
      <c r="I4" s="44" t="s">
        <v>202</v>
      </c>
      <c r="J4" s="8" t="s">
        <v>128</v>
      </c>
      <c r="K4" s="9"/>
    </row>
    <row r="5" spans="1:11" ht="102.5" thickBot="1">
      <c r="A5" s="48"/>
      <c r="B5" s="48"/>
      <c r="C5" s="45"/>
      <c r="D5" s="45"/>
      <c r="E5" s="45"/>
      <c r="F5" s="48"/>
      <c r="G5" s="3" t="s">
        <v>223</v>
      </c>
      <c r="H5" s="3" t="s">
        <v>201</v>
      </c>
      <c r="I5" s="45"/>
      <c r="J5" s="8" t="s">
        <v>128</v>
      </c>
      <c r="K5" s="9"/>
    </row>
    <row r="6" spans="1:11" ht="102.5" thickBot="1">
      <c r="A6" s="49"/>
      <c r="B6" s="49"/>
      <c r="C6" s="46"/>
      <c r="D6" s="46"/>
      <c r="E6" s="46"/>
      <c r="F6" s="49"/>
      <c r="G6" s="3" t="s">
        <v>224</v>
      </c>
      <c r="H6" s="3" t="s">
        <v>222</v>
      </c>
      <c r="I6" s="46"/>
      <c r="J6" s="8" t="s">
        <v>128</v>
      </c>
      <c r="K6" s="9"/>
    </row>
    <row r="7" spans="1:11" ht="102.5" thickBot="1">
      <c r="A7" s="2" t="s">
        <v>225</v>
      </c>
      <c r="B7" s="8" t="s">
        <v>226</v>
      </c>
      <c r="C7" s="3" t="s">
        <v>227</v>
      </c>
      <c r="D7" s="3" t="s">
        <v>228</v>
      </c>
      <c r="E7" s="3" t="s">
        <v>229</v>
      </c>
      <c r="F7" s="2" t="s">
        <v>457</v>
      </c>
      <c r="G7" s="3" t="s">
        <v>230</v>
      </c>
      <c r="H7" s="3" t="s">
        <v>231</v>
      </c>
      <c r="I7" s="3" t="s">
        <v>232</v>
      </c>
      <c r="J7" s="8" t="s">
        <v>128</v>
      </c>
      <c r="K7" s="9"/>
    </row>
    <row r="8" spans="1:11" ht="102.5" thickBot="1">
      <c r="A8" s="2" t="s">
        <v>233</v>
      </c>
      <c r="B8" s="8" t="s">
        <v>234</v>
      </c>
      <c r="C8" s="3" t="s">
        <v>235</v>
      </c>
      <c r="D8" s="3" t="s">
        <v>236</v>
      </c>
      <c r="E8" s="3" t="s">
        <v>237</v>
      </c>
      <c r="F8" s="2" t="s">
        <v>458</v>
      </c>
      <c r="G8" s="3" t="s">
        <v>238</v>
      </c>
      <c r="H8" s="3" t="s">
        <v>239</v>
      </c>
      <c r="I8" s="3" t="s">
        <v>232</v>
      </c>
      <c r="J8" s="8" t="s">
        <v>128</v>
      </c>
      <c r="K8" s="9"/>
    </row>
    <row r="9" spans="1:11" ht="102.5" thickBot="1">
      <c r="A9" s="2" t="s">
        <v>240</v>
      </c>
      <c r="B9" s="8" t="s">
        <v>241</v>
      </c>
      <c r="C9" s="3" t="s">
        <v>242</v>
      </c>
      <c r="D9" s="3" t="s">
        <v>228</v>
      </c>
      <c r="E9" s="3" t="s">
        <v>243</v>
      </c>
      <c r="F9" s="2" t="s">
        <v>426</v>
      </c>
      <c r="G9" s="3" t="s">
        <v>244</v>
      </c>
      <c r="H9" s="3" t="s">
        <v>245</v>
      </c>
      <c r="I9" s="3" t="s">
        <v>246</v>
      </c>
      <c r="J9" s="8" t="s">
        <v>128</v>
      </c>
      <c r="K9" s="9"/>
    </row>
    <row r="10" spans="1:11" ht="272.5" thickBot="1">
      <c r="A10" s="47" t="s">
        <v>247</v>
      </c>
      <c r="B10" s="47" t="s">
        <v>248</v>
      </c>
      <c r="C10" s="44" t="s">
        <v>249</v>
      </c>
      <c r="D10" s="44" t="s">
        <v>250</v>
      </c>
      <c r="E10" s="44" t="s">
        <v>251</v>
      </c>
      <c r="F10" s="47" t="s">
        <v>459</v>
      </c>
      <c r="G10" s="3" t="s">
        <v>252</v>
      </c>
      <c r="H10" s="3" t="s">
        <v>253</v>
      </c>
      <c r="I10" s="3" t="s">
        <v>254</v>
      </c>
      <c r="J10" s="8" t="s">
        <v>128</v>
      </c>
      <c r="K10" s="9"/>
    </row>
    <row r="11" spans="1:11" ht="204.5" thickBot="1">
      <c r="A11" s="48"/>
      <c r="B11" s="48"/>
      <c r="C11" s="45"/>
      <c r="D11" s="45"/>
      <c r="E11" s="45"/>
      <c r="F11" s="48" t="s">
        <v>460</v>
      </c>
      <c r="G11" s="3" t="s">
        <v>255</v>
      </c>
      <c r="H11" s="3" t="s">
        <v>256</v>
      </c>
      <c r="I11" s="44" t="s">
        <v>257</v>
      </c>
      <c r="J11" s="8" t="s">
        <v>128</v>
      </c>
      <c r="K11" s="9"/>
    </row>
    <row r="12" spans="1:11" ht="119.5" thickBot="1">
      <c r="A12" s="48"/>
      <c r="B12" s="48"/>
      <c r="C12" s="45"/>
      <c r="D12" s="45"/>
      <c r="E12" s="45"/>
      <c r="F12" s="48" t="s">
        <v>460</v>
      </c>
      <c r="G12" s="3" t="s">
        <v>258</v>
      </c>
      <c r="H12" s="3" t="s">
        <v>259</v>
      </c>
      <c r="I12" s="45"/>
      <c r="J12" s="8" t="s">
        <v>128</v>
      </c>
      <c r="K12" s="9"/>
    </row>
    <row r="13" spans="1:11" ht="68.5" thickBot="1">
      <c r="A13" s="48"/>
      <c r="B13" s="48"/>
      <c r="C13" s="45"/>
      <c r="D13" s="45"/>
      <c r="E13" s="45"/>
      <c r="F13" s="48" t="s">
        <v>460</v>
      </c>
      <c r="G13" s="3" t="s">
        <v>48</v>
      </c>
      <c r="H13" s="3" t="s">
        <v>260</v>
      </c>
      <c r="I13" s="45"/>
      <c r="J13" s="8" t="s">
        <v>128</v>
      </c>
      <c r="K13" s="9"/>
    </row>
    <row r="14" spans="1:11" ht="136.5" thickBot="1">
      <c r="A14" s="48"/>
      <c r="B14" s="48"/>
      <c r="C14" s="45"/>
      <c r="D14" s="45"/>
      <c r="E14" s="45"/>
      <c r="F14" s="48" t="s">
        <v>460</v>
      </c>
      <c r="G14" s="3" t="s">
        <v>261</v>
      </c>
      <c r="H14" s="3" t="s">
        <v>262</v>
      </c>
      <c r="I14" s="45"/>
      <c r="J14" s="8" t="s">
        <v>128</v>
      </c>
      <c r="K14" s="9"/>
    </row>
    <row r="15" spans="1:11" ht="51.5" thickBot="1">
      <c r="A15" s="48"/>
      <c r="B15" s="48"/>
      <c r="C15" s="45"/>
      <c r="D15" s="45"/>
      <c r="E15" s="45"/>
      <c r="F15" s="48" t="s">
        <v>460</v>
      </c>
      <c r="G15" s="3" t="s">
        <v>48</v>
      </c>
      <c r="H15" s="3" t="s">
        <v>263</v>
      </c>
      <c r="I15" s="45"/>
      <c r="J15" s="8" t="s">
        <v>128</v>
      </c>
      <c r="K15" s="9"/>
    </row>
    <row r="16" spans="1:11" ht="170.5" thickBot="1">
      <c r="A16" s="48"/>
      <c r="B16" s="48"/>
      <c r="C16" s="45"/>
      <c r="D16" s="45"/>
      <c r="E16" s="45"/>
      <c r="F16" s="48" t="s">
        <v>460</v>
      </c>
      <c r="G16" s="3" t="s">
        <v>264</v>
      </c>
      <c r="H16" s="3" t="s">
        <v>265</v>
      </c>
      <c r="I16" s="45"/>
      <c r="J16" s="8" t="s">
        <v>128</v>
      </c>
      <c r="K16" s="9"/>
    </row>
    <row r="17" spans="1:11" ht="51.5" thickBot="1">
      <c r="A17" s="49"/>
      <c r="B17" s="49"/>
      <c r="C17" s="46"/>
      <c r="D17" s="46"/>
      <c r="E17" s="46"/>
      <c r="F17" s="49" t="s">
        <v>460</v>
      </c>
      <c r="G17" s="3" t="s">
        <v>176</v>
      </c>
      <c r="H17" s="3" t="s">
        <v>266</v>
      </c>
      <c r="I17" s="46"/>
      <c r="J17" s="8" t="s">
        <v>128</v>
      </c>
      <c r="K17" s="9"/>
    </row>
    <row r="18" spans="1:11" ht="68.5" thickBot="1">
      <c r="A18" s="2" t="s">
        <v>267</v>
      </c>
      <c r="B18" s="8" t="s">
        <v>268</v>
      </c>
      <c r="C18" s="3" t="s">
        <v>269</v>
      </c>
      <c r="D18" s="3" t="s">
        <v>270</v>
      </c>
      <c r="E18" s="3" t="s">
        <v>271</v>
      </c>
      <c r="F18" s="2" t="s">
        <v>461</v>
      </c>
      <c r="G18" s="3" t="s">
        <v>7</v>
      </c>
      <c r="H18" s="3" t="s">
        <v>7</v>
      </c>
      <c r="I18" s="3" t="s">
        <v>272</v>
      </c>
      <c r="J18" s="8" t="s">
        <v>128</v>
      </c>
      <c r="K18" s="9"/>
    </row>
    <row r="19" spans="1:11" ht="102.5" thickBot="1">
      <c r="A19" s="2" t="s">
        <v>273</v>
      </c>
      <c r="B19" s="8" t="s">
        <v>274</v>
      </c>
      <c r="C19" s="3" t="s">
        <v>275</v>
      </c>
      <c r="D19" s="3" t="s">
        <v>276</v>
      </c>
      <c r="E19" s="3" t="s">
        <v>277</v>
      </c>
      <c r="F19" s="2" t="s">
        <v>462</v>
      </c>
      <c r="G19" s="3" t="s">
        <v>278</v>
      </c>
      <c r="H19" s="3" t="s">
        <v>279</v>
      </c>
      <c r="I19" s="3" t="s">
        <v>280</v>
      </c>
      <c r="J19" s="8" t="s">
        <v>128</v>
      </c>
      <c r="K19" s="7"/>
    </row>
    <row r="20" spans="1:11" ht="17.5" thickBot="1">
      <c r="A20" s="47" t="s">
        <v>281</v>
      </c>
      <c r="B20" s="47" t="s">
        <v>282</v>
      </c>
      <c r="C20" s="44" t="s">
        <v>283</v>
      </c>
      <c r="D20" s="44" t="s">
        <v>284</v>
      </c>
      <c r="E20" s="44" t="s">
        <v>277</v>
      </c>
      <c r="F20" s="47" t="s">
        <v>463</v>
      </c>
      <c r="G20" s="3" t="s">
        <v>278</v>
      </c>
      <c r="H20" s="3" t="s">
        <v>279</v>
      </c>
      <c r="I20" s="58"/>
      <c r="J20" s="8" t="s">
        <v>128</v>
      </c>
      <c r="K20" s="7"/>
    </row>
    <row r="21" spans="1:11" ht="17.5" thickBot="1">
      <c r="A21" s="48"/>
      <c r="B21" s="48"/>
      <c r="C21" s="45"/>
      <c r="D21" s="45"/>
      <c r="E21" s="45"/>
      <c r="F21" s="48" t="s">
        <v>460</v>
      </c>
      <c r="G21" s="3" t="s">
        <v>285</v>
      </c>
      <c r="H21" s="3" t="s">
        <v>286</v>
      </c>
      <c r="I21" s="59"/>
      <c r="J21" s="8" t="s">
        <v>128</v>
      </c>
      <c r="K21" s="7"/>
    </row>
    <row r="22" spans="1:11" ht="17.5" thickBot="1">
      <c r="A22" s="48"/>
      <c r="B22" s="48"/>
      <c r="C22" s="45"/>
      <c r="D22" s="45"/>
      <c r="E22" s="45"/>
      <c r="F22" s="48" t="s">
        <v>460</v>
      </c>
      <c r="G22" s="3" t="s">
        <v>287</v>
      </c>
      <c r="H22" s="3" t="s">
        <v>288</v>
      </c>
      <c r="I22" s="59"/>
      <c r="J22" s="8" t="s">
        <v>128</v>
      </c>
      <c r="K22" s="7"/>
    </row>
    <row r="23" spans="1:11" ht="17.5" thickBot="1">
      <c r="A23" s="48"/>
      <c r="B23" s="48"/>
      <c r="C23" s="45"/>
      <c r="D23" s="45"/>
      <c r="E23" s="45"/>
      <c r="F23" s="48" t="s">
        <v>460</v>
      </c>
      <c r="G23" s="3" t="s">
        <v>278</v>
      </c>
      <c r="H23" s="3" t="s">
        <v>279</v>
      </c>
      <c r="I23" s="59"/>
      <c r="J23" s="8" t="s">
        <v>128</v>
      </c>
      <c r="K23" s="7"/>
    </row>
    <row r="24" spans="1:11" ht="102.5" thickBot="1">
      <c r="A24" s="48"/>
      <c r="B24" s="48"/>
      <c r="C24" s="45"/>
      <c r="D24" s="45"/>
      <c r="E24" s="45"/>
      <c r="F24" s="48" t="str">
        <f t="shared" ref="F24:F26" si="0">_xlfn.CONCAT("TC-",A24)</f>
        <v>TC-</v>
      </c>
      <c r="G24" s="3" t="s">
        <v>150</v>
      </c>
      <c r="H24" s="3" t="s">
        <v>289</v>
      </c>
      <c r="I24" s="59"/>
      <c r="J24" s="8" t="s">
        <v>128</v>
      </c>
      <c r="K24" s="7"/>
    </row>
    <row r="25" spans="1:11" ht="102.5" thickBot="1">
      <c r="A25" s="48"/>
      <c r="B25" s="48"/>
      <c r="C25" s="45"/>
      <c r="D25" s="45"/>
      <c r="E25" s="45"/>
      <c r="F25" s="48" t="str">
        <f t="shared" si="0"/>
        <v>TC-</v>
      </c>
      <c r="G25" s="3" t="s">
        <v>153</v>
      </c>
      <c r="H25" s="3" t="s">
        <v>290</v>
      </c>
      <c r="I25" s="59"/>
      <c r="J25" s="8" t="s">
        <v>128</v>
      </c>
      <c r="K25" s="7"/>
    </row>
    <row r="26" spans="1:11" ht="17.5" thickBot="1">
      <c r="A26" s="49"/>
      <c r="B26" s="49"/>
      <c r="C26" s="46"/>
      <c r="D26" s="46"/>
      <c r="E26" s="46"/>
      <c r="F26" s="49" t="str">
        <f t="shared" si="0"/>
        <v>TC-</v>
      </c>
      <c r="G26" s="3" t="s">
        <v>278</v>
      </c>
      <c r="H26" s="3" t="s">
        <v>279</v>
      </c>
      <c r="I26" s="60"/>
      <c r="J26" s="8" t="s">
        <v>128</v>
      </c>
      <c r="K26" s="7"/>
    </row>
    <row r="27" spans="1:11">
      <c r="A27" s="27"/>
      <c r="B27" s="27"/>
      <c r="C27" s="27"/>
      <c r="D27" s="27"/>
      <c r="E27" s="27"/>
      <c r="F27" s="27"/>
      <c r="G27" s="27"/>
      <c r="H27" s="27"/>
      <c r="I27" s="27"/>
      <c r="J27" s="27"/>
    </row>
    <row r="28" spans="1:11">
      <c r="A28" s="27"/>
      <c r="B28" s="27"/>
      <c r="C28" s="27"/>
      <c r="D28" s="27"/>
      <c r="E28" s="27"/>
      <c r="F28" s="27"/>
      <c r="G28" s="27"/>
      <c r="H28" s="27"/>
      <c r="I28" s="27"/>
      <c r="J28" s="27"/>
    </row>
    <row r="29" spans="1:11">
      <c r="A29" s="27"/>
      <c r="B29" s="27"/>
      <c r="C29" s="27"/>
      <c r="D29" s="27"/>
      <c r="E29" s="27"/>
      <c r="F29" s="27"/>
      <c r="G29" s="27"/>
      <c r="H29" s="27"/>
      <c r="I29" s="27"/>
      <c r="J29" s="27"/>
    </row>
    <row r="30" spans="1:11">
      <c r="A30" s="27"/>
      <c r="B30" s="27"/>
      <c r="C30" s="27"/>
      <c r="D30" s="27"/>
      <c r="E30" s="27"/>
      <c r="F30" s="27"/>
      <c r="G30" s="27"/>
      <c r="H30" s="27"/>
      <c r="I30" s="27"/>
      <c r="J30" s="27"/>
    </row>
    <row r="31" spans="1:11">
      <c r="A31" s="27"/>
      <c r="B31" s="27"/>
      <c r="C31" s="27"/>
      <c r="D31" s="27"/>
      <c r="E31" s="27"/>
      <c r="F31" s="27"/>
      <c r="G31" s="27"/>
      <c r="H31" s="27"/>
      <c r="I31" s="27"/>
      <c r="J31" s="27"/>
    </row>
    <row r="32" spans="1:11">
      <c r="A32" s="27"/>
      <c r="B32" s="27"/>
      <c r="C32" s="27"/>
      <c r="D32" s="27"/>
      <c r="E32" s="27"/>
      <c r="F32" s="27"/>
      <c r="G32" s="27"/>
      <c r="H32" s="27"/>
      <c r="I32" s="27"/>
      <c r="J32" s="27"/>
    </row>
    <row r="33" spans="1:10">
      <c r="A33" s="27"/>
      <c r="B33" s="27"/>
      <c r="C33" s="27"/>
      <c r="D33" s="27"/>
      <c r="E33" s="27"/>
      <c r="F33" s="27"/>
      <c r="G33" s="27"/>
      <c r="H33" s="27"/>
      <c r="I33" s="27"/>
      <c r="J33" s="27"/>
    </row>
    <row r="34" spans="1:10">
      <c r="A34" s="27"/>
      <c r="B34" s="27"/>
      <c r="C34" s="27"/>
      <c r="D34" s="27"/>
      <c r="E34" s="27"/>
      <c r="F34" s="27"/>
      <c r="G34" s="27"/>
      <c r="H34" s="27"/>
      <c r="I34" s="27"/>
      <c r="J34" s="27"/>
    </row>
    <row r="35" spans="1:10">
      <c r="A35" s="27"/>
      <c r="B35" s="27"/>
      <c r="C35" s="27"/>
      <c r="D35" s="27"/>
      <c r="E35" s="27"/>
      <c r="F35" s="27"/>
      <c r="G35" s="27"/>
      <c r="H35" s="27"/>
      <c r="I35" s="27"/>
      <c r="J35" s="27"/>
    </row>
    <row r="36" spans="1:10">
      <c r="A36" s="27"/>
      <c r="B36" s="27"/>
      <c r="C36" s="27"/>
      <c r="D36" s="27"/>
      <c r="E36" s="27"/>
      <c r="F36" s="27"/>
      <c r="G36" s="27"/>
      <c r="H36" s="27"/>
      <c r="I36" s="27"/>
      <c r="J36" s="27"/>
    </row>
    <row r="37" spans="1:10">
      <c r="A37" s="27"/>
      <c r="B37" s="27"/>
      <c r="C37" s="27"/>
      <c r="D37" s="27"/>
      <c r="E37" s="27"/>
      <c r="F37" s="27"/>
      <c r="G37" s="27"/>
      <c r="H37" s="27"/>
      <c r="I37" s="27"/>
      <c r="J37" s="27"/>
    </row>
    <row r="38" spans="1:10">
      <c r="A38" s="27"/>
      <c r="B38" s="27"/>
      <c r="C38" s="27"/>
      <c r="D38" s="27"/>
      <c r="E38" s="27"/>
      <c r="F38" s="27"/>
      <c r="G38" s="27"/>
      <c r="H38" s="27"/>
      <c r="I38" s="27"/>
      <c r="J38" s="27"/>
    </row>
    <row r="39" spans="1:10">
      <c r="A39" s="27"/>
      <c r="B39" s="27"/>
      <c r="C39" s="27"/>
      <c r="D39" s="27"/>
      <c r="E39" s="27"/>
      <c r="F39" s="27"/>
      <c r="G39" s="27"/>
      <c r="H39" s="27"/>
      <c r="I39" s="27"/>
      <c r="J39" s="27"/>
    </row>
    <row r="40" spans="1:10">
      <c r="A40" s="27"/>
      <c r="B40" s="27"/>
      <c r="C40" s="27"/>
      <c r="D40" s="27"/>
      <c r="E40" s="27"/>
      <c r="F40" s="27"/>
      <c r="G40" s="27"/>
      <c r="H40" s="27"/>
      <c r="I40" s="27"/>
      <c r="J40" s="27"/>
    </row>
    <row r="41" spans="1:10">
      <c r="A41" s="27"/>
      <c r="B41" s="27"/>
      <c r="C41" s="27"/>
      <c r="D41" s="27"/>
      <c r="E41" s="27"/>
      <c r="F41" s="27"/>
      <c r="G41" s="27"/>
      <c r="H41" s="27"/>
      <c r="I41" s="27"/>
      <c r="J41" s="27"/>
    </row>
    <row r="42" spans="1:10">
      <c r="A42" s="27"/>
      <c r="B42" s="27"/>
      <c r="C42" s="27"/>
      <c r="D42" s="27"/>
      <c r="E42" s="27"/>
      <c r="F42" s="27"/>
      <c r="G42" s="27"/>
      <c r="H42" s="27"/>
      <c r="I42" s="27"/>
      <c r="J42" s="27"/>
    </row>
    <row r="43" spans="1:10">
      <c r="A43" s="27"/>
      <c r="B43" s="27"/>
      <c r="C43" s="27"/>
      <c r="D43" s="27"/>
      <c r="E43" s="27"/>
      <c r="F43" s="27"/>
      <c r="G43" s="27"/>
      <c r="H43" s="27"/>
      <c r="I43" s="27"/>
      <c r="J43" s="27"/>
    </row>
    <row r="44" spans="1:10">
      <c r="A44" s="27"/>
      <c r="B44" s="27"/>
      <c r="C44" s="27"/>
      <c r="D44" s="27"/>
      <c r="E44" s="27"/>
      <c r="F44" s="27"/>
      <c r="G44" s="27"/>
      <c r="H44" s="27"/>
      <c r="I44" s="27"/>
      <c r="J44" s="27"/>
    </row>
    <row r="45" spans="1:10">
      <c r="A45" s="27"/>
      <c r="B45" s="27"/>
      <c r="C45" s="27"/>
      <c r="D45" s="27"/>
      <c r="E45" s="27"/>
      <c r="F45" s="27"/>
      <c r="G45" s="27"/>
      <c r="H45" s="27"/>
      <c r="I45" s="27"/>
      <c r="J45" s="27"/>
    </row>
    <row r="46" spans="1:10">
      <c r="A46" s="27"/>
      <c r="B46" s="27"/>
      <c r="C46" s="27"/>
      <c r="D46" s="27"/>
      <c r="E46" s="27"/>
      <c r="F46" s="27"/>
      <c r="G46" s="27"/>
      <c r="H46" s="27"/>
      <c r="I46" s="27"/>
      <c r="J46" s="27"/>
    </row>
    <row r="47" spans="1:10">
      <c r="A47" s="27"/>
      <c r="B47" s="27"/>
      <c r="C47" s="27"/>
      <c r="D47" s="27"/>
      <c r="E47" s="27"/>
      <c r="F47" s="27"/>
      <c r="G47" s="27"/>
      <c r="H47" s="27"/>
      <c r="I47" s="27"/>
      <c r="J47" s="27"/>
    </row>
    <row r="48" spans="1:10">
      <c r="A48" s="27"/>
      <c r="B48" s="27"/>
      <c r="C48" s="27"/>
      <c r="D48" s="27"/>
      <c r="E48" s="27"/>
      <c r="F48" s="27"/>
      <c r="G48" s="27"/>
      <c r="H48" s="27"/>
      <c r="I48" s="27"/>
      <c r="J48" s="27"/>
    </row>
    <row r="49" spans="1:10">
      <c r="A49" s="27"/>
      <c r="B49" s="27"/>
      <c r="C49" s="27"/>
      <c r="D49" s="27"/>
      <c r="E49" s="27"/>
      <c r="F49" s="27"/>
      <c r="G49" s="27"/>
      <c r="H49" s="27"/>
      <c r="I49" s="27"/>
      <c r="J49" s="27"/>
    </row>
    <row r="50" spans="1:10">
      <c r="A50" s="27"/>
      <c r="B50" s="27"/>
      <c r="C50" s="27"/>
      <c r="D50" s="27"/>
      <c r="E50" s="27"/>
      <c r="F50" s="27"/>
      <c r="G50" s="27"/>
      <c r="H50" s="27"/>
      <c r="I50" s="27"/>
      <c r="J50" s="27"/>
    </row>
    <row r="51" spans="1:10">
      <c r="A51" s="27"/>
      <c r="B51" s="27"/>
      <c r="C51" s="27"/>
      <c r="D51" s="27"/>
      <c r="E51" s="27"/>
      <c r="F51" s="27"/>
      <c r="G51" s="27"/>
      <c r="H51" s="27"/>
      <c r="I51" s="27"/>
      <c r="J51" s="27"/>
    </row>
    <row r="52" spans="1:10">
      <c r="A52" s="27"/>
      <c r="B52" s="27"/>
      <c r="C52" s="27"/>
      <c r="D52" s="27"/>
      <c r="E52" s="27"/>
      <c r="F52" s="27"/>
      <c r="G52" s="27"/>
      <c r="H52" s="27"/>
      <c r="I52" s="27"/>
      <c r="J52" s="27"/>
    </row>
    <row r="53" spans="1:10">
      <c r="A53" s="27"/>
      <c r="B53" s="27"/>
      <c r="C53" s="27"/>
      <c r="D53" s="27"/>
      <c r="E53" s="27"/>
      <c r="F53" s="27"/>
      <c r="G53" s="27"/>
      <c r="H53" s="27"/>
      <c r="I53" s="27"/>
      <c r="J53" s="27"/>
    </row>
    <row r="54" spans="1:10">
      <c r="A54" s="27"/>
      <c r="B54" s="27"/>
      <c r="C54" s="27"/>
      <c r="D54" s="27"/>
      <c r="E54" s="27"/>
      <c r="F54" s="27"/>
      <c r="G54" s="27"/>
      <c r="H54" s="27"/>
      <c r="I54" s="27"/>
      <c r="J54" s="27"/>
    </row>
    <row r="55" spans="1:10">
      <c r="A55" s="27"/>
      <c r="B55" s="27"/>
      <c r="C55" s="27"/>
      <c r="D55" s="27"/>
      <c r="E55" s="27"/>
      <c r="F55" s="27"/>
      <c r="G55" s="27"/>
      <c r="H55" s="27"/>
      <c r="I55" s="27"/>
      <c r="J55" s="27"/>
    </row>
    <row r="56" spans="1:10">
      <c r="A56" s="27"/>
      <c r="B56" s="27"/>
      <c r="C56" s="27"/>
      <c r="D56" s="27"/>
      <c r="E56" s="27"/>
      <c r="F56" s="27"/>
      <c r="G56" s="27"/>
      <c r="H56" s="27"/>
      <c r="I56" s="27"/>
      <c r="J56" s="27"/>
    </row>
    <row r="57" spans="1:10">
      <c r="A57" s="27"/>
      <c r="B57" s="27"/>
      <c r="C57" s="27"/>
      <c r="D57" s="27"/>
      <c r="E57" s="27"/>
      <c r="F57" s="27"/>
      <c r="G57" s="27"/>
      <c r="H57" s="27"/>
      <c r="I57" s="27"/>
      <c r="J57" s="27"/>
    </row>
    <row r="58" spans="1:10">
      <c r="A58" s="27"/>
      <c r="B58" s="27"/>
      <c r="C58" s="27"/>
      <c r="D58" s="27"/>
      <c r="E58" s="27"/>
      <c r="F58" s="27"/>
      <c r="G58" s="27"/>
      <c r="H58" s="27"/>
      <c r="I58" s="27"/>
      <c r="J58" s="27"/>
    </row>
    <row r="59" spans="1:10">
      <c r="A59" s="27"/>
      <c r="B59" s="27"/>
      <c r="C59" s="27"/>
      <c r="D59" s="27"/>
      <c r="E59" s="27"/>
      <c r="F59" s="27"/>
      <c r="G59" s="27"/>
      <c r="H59" s="27"/>
      <c r="I59" s="27"/>
      <c r="J59" s="27"/>
    </row>
    <row r="60" spans="1:10">
      <c r="A60" s="27"/>
      <c r="B60" s="27"/>
      <c r="C60" s="27"/>
      <c r="D60" s="27"/>
      <c r="E60" s="27"/>
      <c r="F60" s="27"/>
      <c r="G60" s="27"/>
      <c r="H60" s="27"/>
      <c r="I60" s="27"/>
      <c r="J60" s="27"/>
    </row>
    <row r="61" spans="1:10">
      <c r="A61" s="27"/>
      <c r="B61" s="27"/>
      <c r="C61" s="27"/>
      <c r="D61" s="27"/>
      <c r="E61" s="27"/>
      <c r="F61" s="27"/>
      <c r="G61" s="27"/>
      <c r="H61" s="27"/>
      <c r="I61" s="27"/>
      <c r="J61" s="27"/>
    </row>
    <row r="62" spans="1:10">
      <c r="A62" s="27"/>
      <c r="B62" s="27"/>
      <c r="C62" s="27"/>
      <c r="D62" s="27"/>
      <c r="E62" s="27"/>
      <c r="F62" s="27"/>
      <c r="G62" s="27"/>
      <c r="H62" s="27"/>
      <c r="I62" s="27"/>
      <c r="J62" s="27"/>
    </row>
    <row r="63" spans="1:10">
      <c r="A63" s="27"/>
      <c r="B63" s="27"/>
      <c r="C63" s="27"/>
      <c r="D63" s="27"/>
      <c r="E63" s="27"/>
      <c r="F63" s="27"/>
      <c r="G63" s="27"/>
      <c r="H63" s="27"/>
      <c r="I63" s="27"/>
      <c r="J63" s="27"/>
    </row>
    <row r="64" spans="1:10">
      <c r="A64" s="27"/>
      <c r="B64" s="27"/>
      <c r="C64" s="27"/>
      <c r="D64" s="27"/>
      <c r="E64" s="27"/>
      <c r="F64" s="27"/>
      <c r="G64" s="27"/>
      <c r="H64" s="27"/>
      <c r="I64" s="27"/>
      <c r="J64" s="27"/>
    </row>
    <row r="65" spans="1:10">
      <c r="A65" s="27"/>
      <c r="B65" s="27"/>
      <c r="C65" s="27"/>
      <c r="D65" s="27"/>
      <c r="E65" s="27"/>
      <c r="F65" s="27"/>
      <c r="G65" s="27"/>
      <c r="H65" s="27"/>
      <c r="I65" s="27"/>
      <c r="J65" s="27"/>
    </row>
    <row r="66" spans="1:10">
      <c r="A66" s="27"/>
      <c r="B66" s="27"/>
      <c r="C66" s="27"/>
      <c r="D66" s="27"/>
      <c r="E66" s="27"/>
      <c r="F66" s="27"/>
      <c r="G66" s="27"/>
      <c r="H66" s="27"/>
      <c r="I66" s="27"/>
      <c r="J66" s="27"/>
    </row>
    <row r="67" spans="1:10">
      <c r="A67" s="27"/>
      <c r="B67" s="27"/>
      <c r="C67" s="27"/>
      <c r="D67" s="27"/>
      <c r="E67" s="27"/>
      <c r="F67" s="27"/>
      <c r="G67" s="27"/>
      <c r="H67" s="27"/>
      <c r="I67" s="27"/>
      <c r="J67" s="27"/>
    </row>
    <row r="68" spans="1:10">
      <c r="A68" s="27"/>
      <c r="B68" s="27"/>
      <c r="C68" s="27"/>
      <c r="D68" s="27"/>
      <c r="E68" s="27"/>
      <c r="F68" s="27"/>
      <c r="G68" s="27"/>
      <c r="H68" s="27"/>
      <c r="I68" s="27"/>
      <c r="J68" s="27"/>
    </row>
    <row r="69" spans="1:10">
      <c r="A69" s="27"/>
      <c r="B69" s="27"/>
      <c r="C69" s="27"/>
      <c r="D69" s="27"/>
      <c r="E69" s="27"/>
      <c r="F69" s="27"/>
      <c r="G69" s="27"/>
      <c r="H69" s="27"/>
      <c r="I69" s="27"/>
      <c r="J69" s="27"/>
    </row>
    <row r="70" spans="1:10">
      <c r="A70" s="27"/>
      <c r="B70" s="27"/>
      <c r="C70" s="27"/>
      <c r="D70" s="27"/>
      <c r="E70" s="27"/>
      <c r="F70" s="27"/>
      <c r="G70" s="27"/>
      <c r="H70" s="27"/>
      <c r="I70" s="27"/>
      <c r="J70" s="27"/>
    </row>
    <row r="71" spans="1:10">
      <c r="A71" s="27"/>
      <c r="B71" s="27"/>
      <c r="C71" s="27"/>
      <c r="D71" s="27"/>
      <c r="E71" s="27"/>
      <c r="F71" s="27"/>
      <c r="G71" s="27"/>
      <c r="H71" s="27"/>
      <c r="I71" s="27"/>
      <c r="J71" s="27"/>
    </row>
    <row r="72" spans="1:10">
      <c r="A72" s="27"/>
      <c r="B72" s="27"/>
      <c r="C72" s="27"/>
      <c r="D72" s="27"/>
      <c r="E72" s="27"/>
      <c r="F72" s="27"/>
      <c r="G72" s="27"/>
      <c r="H72" s="27"/>
      <c r="I72" s="27"/>
      <c r="J72" s="27"/>
    </row>
    <row r="73" spans="1:10">
      <c r="A73" s="27"/>
      <c r="B73" s="27"/>
      <c r="C73" s="27"/>
      <c r="D73" s="27"/>
      <c r="E73" s="27"/>
      <c r="F73" s="27"/>
      <c r="G73" s="27"/>
      <c r="H73" s="27"/>
      <c r="I73" s="27"/>
      <c r="J73" s="27"/>
    </row>
    <row r="74" spans="1:10">
      <c r="A74" s="27"/>
      <c r="B74" s="27"/>
      <c r="C74" s="27"/>
      <c r="D74" s="27"/>
      <c r="E74" s="27"/>
      <c r="F74" s="27"/>
      <c r="G74" s="27"/>
      <c r="H74" s="27"/>
      <c r="I74" s="27"/>
      <c r="J74" s="27"/>
    </row>
    <row r="75" spans="1:10">
      <c r="A75" s="27"/>
      <c r="B75" s="27"/>
      <c r="C75" s="27"/>
      <c r="D75" s="27"/>
      <c r="E75" s="27"/>
      <c r="F75" s="27"/>
      <c r="G75" s="27"/>
      <c r="H75" s="27"/>
      <c r="I75" s="27"/>
      <c r="J75" s="27"/>
    </row>
    <row r="76" spans="1:10">
      <c r="A76" s="27"/>
      <c r="B76" s="27"/>
      <c r="C76" s="27"/>
      <c r="D76" s="27"/>
      <c r="E76" s="27"/>
      <c r="F76" s="27"/>
      <c r="G76" s="27"/>
      <c r="H76" s="27"/>
      <c r="I76" s="27"/>
      <c r="J76" s="27"/>
    </row>
    <row r="77" spans="1:10">
      <c r="A77" s="27"/>
      <c r="B77" s="27"/>
      <c r="C77" s="27"/>
      <c r="D77" s="27"/>
      <c r="E77" s="27"/>
      <c r="F77" s="27"/>
      <c r="G77" s="27"/>
      <c r="H77" s="27"/>
      <c r="I77" s="27"/>
      <c r="J77" s="27"/>
    </row>
    <row r="78" spans="1:10">
      <c r="A78" s="27"/>
      <c r="B78" s="27"/>
      <c r="C78" s="27"/>
      <c r="D78" s="27"/>
      <c r="E78" s="27"/>
      <c r="F78" s="27"/>
      <c r="G78" s="27"/>
      <c r="H78" s="27"/>
      <c r="I78" s="27"/>
      <c r="J78" s="27"/>
    </row>
    <row r="79" spans="1:10">
      <c r="A79" s="27"/>
      <c r="B79" s="27"/>
      <c r="C79" s="27"/>
      <c r="D79" s="27"/>
      <c r="E79" s="27"/>
      <c r="F79" s="27"/>
      <c r="G79" s="27"/>
      <c r="H79" s="27"/>
      <c r="I79" s="27"/>
      <c r="J79" s="27"/>
    </row>
    <row r="80" spans="1:10">
      <c r="A80" s="27"/>
      <c r="B80" s="27"/>
      <c r="C80" s="27"/>
      <c r="D80" s="27"/>
      <c r="E80" s="27"/>
      <c r="F80" s="27"/>
      <c r="G80" s="27"/>
      <c r="H80" s="27"/>
      <c r="I80" s="27"/>
      <c r="J80" s="27"/>
    </row>
    <row r="81" spans="1:10">
      <c r="A81" s="27"/>
      <c r="B81" s="27"/>
      <c r="C81" s="27"/>
      <c r="D81" s="27"/>
      <c r="E81" s="27"/>
      <c r="F81" s="27"/>
      <c r="G81" s="27"/>
      <c r="H81" s="27"/>
      <c r="I81" s="27"/>
      <c r="J81" s="27"/>
    </row>
    <row r="82" spans="1:10">
      <c r="A82" s="27"/>
      <c r="B82" s="27"/>
      <c r="C82" s="27"/>
      <c r="D82" s="27"/>
      <c r="E82" s="27"/>
      <c r="F82" s="27"/>
      <c r="G82" s="27"/>
      <c r="H82" s="27"/>
      <c r="I82" s="27"/>
      <c r="J82" s="27"/>
    </row>
    <row r="83" spans="1:10">
      <c r="A83" s="27"/>
      <c r="B83" s="27"/>
      <c r="C83" s="27"/>
      <c r="D83" s="27"/>
      <c r="E83" s="27"/>
      <c r="F83" s="27"/>
      <c r="G83" s="27"/>
      <c r="H83" s="27"/>
      <c r="I83" s="27"/>
      <c r="J83" s="27"/>
    </row>
    <row r="84" spans="1:10">
      <c r="A84" s="27"/>
      <c r="B84" s="27"/>
      <c r="C84" s="27"/>
      <c r="D84" s="27"/>
      <c r="E84" s="27"/>
      <c r="F84" s="27"/>
      <c r="G84" s="27"/>
      <c r="H84" s="27"/>
      <c r="I84" s="27"/>
      <c r="J84" s="27"/>
    </row>
    <row r="85" spans="1:10">
      <c r="A85" s="27"/>
      <c r="B85" s="27"/>
      <c r="C85" s="27"/>
      <c r="D85" s="27"/>
      <c r="E85" s="27"/>
      <c r="F85" s="27"/>
      <c r="G85" s="27"/>
      <c r="H85" s="27"/>
      <c r="I85" s="27"/>
      <c r="J85" s="27"/>
    </row>
    <row r="86" spans="1:10">
      <c r="A86" s="27"/>
      <c r="B86" s="27"/>
      <c r="C86" s="27"/>
      <c r="D86" s="27"/>
      <c r="E86" s="27"/>
      <c r="F86" s="27"/>
      <c r="G86" s="27"/>
      <c r="H86" s="27"/>
      <c r="I86" s="27"/>
      <c r="J86" s="27"/>
    </row>
    <row r="87" spans="1:10">
      <c r="A87" s="27"/>
      <c r="B87" s="27"/>
      <c r="C87" s="27"/>
      <c r="D87" s="27"/>
      <c r="E87" s="27"/>
      <c r="F87" s="27"/>
      <c r="G87" s="27"/>
      <c r="H87" s="27"/>
      <c r="I87" s="27"/>
      <c r="J87" s="27"/>
    </row>
    <row r="88" spans="1:10">
      <c r="A88" s="27"/>
      <c r="B88" s="27"/>
      <c r="C88" s="27"/>
      <c r="D88" s="27"/>
      <c r="E88" s="27"/>
      <c r="F88" s="27"/>
      <c r="G88" s="27"/>
      <c r="H88" s="27"/>
      <c r="I88" s="27"/>
      <c r="J88" s="27"/>
    </row>
    <row r="89" spans="1:10">
      <c r="A89" s="27"/>
      <c r="B89" s="27"/>
      <c r="C89" s="27"/>
      <c r="D89" s="27"/>
      <c r="E89" s="27"/>
      <c r="F89" s="27"/>
      <c r="G89" s="27"/>
      <c r="H89" s="27"/>
      <c r="I89" s="27"/>
      <c r="J89" s="27"/>
    </row>
    <row r="90" spans="1:10">
      <c r="A90" s="27"/>
      <c r="B90" s="27"/>
      <c r="C90" s="27"/>
      <c r="D90" s="27"/>
      <c r="E90" s="27"/>
      <c r="F90" s="27"/>
      <c r="G90" s="27"/>
      <c r="H90" s="27"/>
      <c r="I90" s="27"/>
      <c r="J90" s="27"/>
    </row>
    <row r="91" spans="1:10">
      <c r="A91" s="27"/>
      <c r="B91" s="27"/>
      <c r="C91" s="27"/>
      <c r="D91" s="27"/>
      <c r="E91" s="27"/>
      <c r="F91" s="27"/>
      <c r="G91" s="27"/>
      <c r="H91" s="27"/>
      <c r="I91" s="27"/>
      <c r="J91" s="27"/>
    </row>
    <row r="92" spans="1:10">
      <c r="A92" s="27"/>
      <c r="B92" s="27"/>
      <c r="C92" s="27"/>
      <c r="D92" s="27"/>
      <c r="E92" s="27"/>
      <c r="F92" s="27"/>
      <c r="G92" s="27"/>
      <c r="H92" s="27"/>
      <c r="I92" s="27"/>
      <c r="J92" s="27"/>
    </row>
    <row r="93" spans="1:10">
      <c r="A93" s="27"/>
      <c r="B93" s="27"/>
      <c r="C93" s="27"/>
      <c r="D93" s="27"/>
      <c r="E93" s="27"/>
      <c r="F93" s="27"/>
      <c r="G93" s="27"/>
      <c r="H93" s="27"/>
      <c r="I93" s="27"/>
      <c r="J93" s="27"/>
    </row>
    <row r="94" spans="1:10">
      <c r="A94" s="27"/>
      <c r="B94" s="27"/>
      <c r="C94" s="27"/>
      <c r="D94" s="27"/>
      <c r="E94" s="27"/>
      <c r="F94" s="27"/>
      <c r="G94" s="27"/>
      <c r="H94" s="27"/>
      <c r="I94" s="27"/>
      <c r="J94" s="27"/>
    </row>
    <row r="95" spans="1:10">
      <c r="A95" s="27"/>
      <c r="B95" s="27"/>
      <c r="C95" s="27"/>
      <c r="D95" s="27"/>
      <c r="E95" s="27"/>
      <c r="F95" s="27"/>
      <c r="G95" s="27"/>
      <c r="H95" s="27"/>
      <c r="I95" s="27"/>
      <c r="J95" s="27"/>
    </row>
    <row r="96" spans="1:10">
      <c r="A96" s="27"/>
      <c r="B96" s="27"/>
      <c r="C96" s="27"/>
      <c r="D96" s="27"/>
      <c r="E96" s="27"/>
      <c r="F96" s="27"/>
      <c r="G96" s="27"/>
      <c r="H96" s="27"/>
      <c r="I96" s="27"/>
      <c r="J96" s="27"/>
    </row>
    <row r="97" spans="1:10">
      <c r="A97" s="27"/>
      <c r="B97" s="27"/>
      <c r="C97" s="27"/>
      <c r="D97" s="27"/>
      <c r="E97" s="27"/>
      <c r="F97" s="27"/>
      <c r="G97" s="27"/>
      <c r="H97" s="27"/>
      <c r="I97" s="27"/>
      <c r="J97" s="27"/>
    </row>
    <row r="98" spans="1:10">
      <c r="A98" s="27"/>
      <c r="B98" s="27"/>
      <c r="C98" s="27"/>
      <c r="D98" s="27"/>
      <c r="E98" s="27"/>
      <c r="F98" s="27"/>
      <c r="G98" s="27"/>
      <c r="H98" s="27"/>
      <c r="I98" s="27"/>
      <c r="J98" s="27"/>
    </row>
    <row r="99" spans="1:10">
      <c r="A99" s="27"/>
      <c r="B99" s="27"/>
      <c r="C99" s="27"/>
      <c r="D99" s="27"/>
      <c r="E99" s="27"/>
      <c r="F99" s="27"/>
      <c r="G99" s="27"/>
      <c r="H99" s="27"/>
      <c r="I99" s="27"/>
      <c r="J99" s="27"/>
    </row>
    <row r="100" spans="1:10">
      <c r="A100" s="27"/>
      <c r="B100" s="27"/>
      <c r="C100" s="27"/>
      <c r="D100" s="27"/>
      <c r="E100" s="27"/>
      <c r="F100" s="27"/>
      <c r="G100" s="27"/>
      <c r="H100" s="27"/>
      <c r="I100" s="27"/>
      <c r="J100" s="27"/>
    </row>
    <row r="101" spans="1:10">
      <c r="A101" s="27"/>
      <c r="B101" s="27"/>
      <c r="C101" s="27"/>
      <c r="D101" s="27"/>
      <c r="E101" s="27"/>
      <c r="F101" s="27"/>
      <c r="G101" s="27"/>
      <c r="H101" s="27"/>
      <c r="I101" s="27"/>
      <c r="J101" s="27"/>
    </row>
    <row r="102" spans="1:10">
      <c r="A102" s="27"/>
      <c r="B102" s="27"/>
      <c r="C102" s="27"/>
      <c r="D102" s="27"/>
      <c r="E102" s="27"/>
      <c r="F102" s="27"/>
      <c r="G102" s="27"/>
      <c r="H102" s="27"/>
      <c r="I102" s="27"/>
      <c r="J102" s="27"/>
    </row>
    <row r="103" spans="1:10">
      <c r="A103" s="27"/>
      <c r="B103" s="27"/>
      <c r="C103" s="27"/>
      <c r="D103" s="27"/>
      <c r="E103" s="27"/>
      <c r="F103" s="27"/>
      <c r="G103" s="27"/>
      <c r="H103" s="27"/>
      <c r="I103" s="27"/>
      <c r="J103" s="27"/>
    </row>
    <row r="104" spans="1:10">
      <c r="A104" s="27"/>
      <c r="B104" s="27"/>
      <c r="C104" s="27"/>
      <c r="D104" s="27"/>
      <c r="E104" s="27"/>
      <c r="F104" s="27"/>
      <c r="G104" s="27"/>
      <c r="H104" s="27"/>
      <c r="I104" s="27"/>
      <c r="J104" s="27"/>
    </row>
    <row r="105" spans="1:10">
      <c r="A105" s="27"/>
      <c r="B105" s="27"/>
      <c r="C105" s="27"/>
      <c r="D105" s="27"/>
      <c r="E105" s="27"/>
      <c r="F105" s="27"/>
      <c r="G105" s="27"/>
      <c r="H105" s="27"/>
      <c r="I105" s="27"/>
      <c r="J105" s="27"/>
    </row>
    <row r="106" spans="1:10">
      <c r="A106" s="27"/>
      <c r="B106" s="27"/>
      <c r="C106" s="27"/>
      <c r="D106" s="27"/>
      <c r="E106" s="27"/>
      <c r="F106" s="27"/>
      <c r="G106" s="27"/>
      <c r="H106" s="27"/>
      <c r="I106" s="27"/>
      <c r="J106" s="27"/>
    </row>
    <row r="107" spans="1:10">
      <c r="A107" s="27"/>
      <c r="B107" s="27"/>
      <c r="C107" s="27"/>
      <c r="D107" s="27"/>
      <c r="E107" s="27"/>
      <c r="F107" s="27"/>
      <c r="G107" s="27"/>
      <c r="H107" s="27"/>
      <c r="I107" s="27"/>
      <c r="J107" s="27"/>
    </row>
    <row r="108" spans="1:10">
      <c r="A108" s="27"/>
      <c r="B108" s="27"/>
      <c r="C108" s="27"/>
      <c r="D108" s="27"/>
      <c r="E108" s="27"/>
      <c r="F108" s="27"/>
      <c r="G108" s="27"/>
      <c r="H108" s="27"/>
      <c r="I108" s="27"/>
      <c r="J108" s="27"/>
    </row>
    <row r="109" spans="1:10">
      <c r="A109" s="27"/>
      <c r="B109" s="27"/>
      <c r="C109" s="27"/>
      <c r="D109" s="27"/>
      <c r="E109" s="27"/>
      <c r="F109" s="27"/>
      <c r="G109" s="27"/>
      <c r="H109" s="27"/>
      <c r="I109" s="27"/>
      <c r="J109" s="27"/>
    </row>
    <row r="110" spans="1:10">
      <c r="A110" s="27"/>
      <c r="B110" s="27"/>
      <c r="C110" s="27"/>
      <c r="D110" s="27"/>
      <c r="E110" s="27"/>
      <c r="F110" s="27"/>
      <c r="G110" s="27"/>
      <c r="H110" s="27"/>
      <c r="I110" s="27"/>
      <c r="J110" s="27"/>
    </row>
    <row r="111" spans="1:10">
      <c r="A111" s="27"/>
      <c r="B111" s="27"/>
      <c r="C111" s="27"/>
      <c r="D111" s="27"/>
      <c r="E111" s="27"/>
      <c r="F111" s="27"/>
      <c r="G111" s="27"/>
      <c r="H111" s="27"/>
      <c r="I111" s="27"/>
      <c r="J111" s="27"/>
    </row>
    <row r="112" spans="1:10">
      <c r="A112" s="27"/>
      <c r="B112" s="27"/>
      <c r="C112" s="27"/>
      <c r="D112" s="27"/>
      <c r="E112" s="27"/>
      <c r="F112" s="27"/>
      <c r="G112" s="27"/>
      <c r="H112" s="27"/>
      <c r="I112" s="27"/>
      <c r="J112" s="27"/>
    </row>
    <row r="113" spans="1:10">
      <c r="A113" s="27"/>
      <c r="B113" s="27"/>
      <c r="C113" s="27"/>
      <c r="D113" s="27"/>
      <c r="E113" s="27"/>
      <c r="F113" s="27"/>
      <c r="G113" s="27"/>
      <c r="H113" s="27"/>
      <c r="I113" s="27"/>
      <c r="J113" s="27"/>
    </row>
    <row r="114" spans="1:10">
      <c r="A114" s="27"/>
      <c r="B114" s="27"/>
      <c r="C114" s="27"/>
      <c r="D114" s="27"/>
      <c r="E114" s="27"/>
      <c r="F114" s="27"/>
      <c r="G114" s="27"/>
      <c r="H114" s="27"/>
      <c r="I114" s="27"/>
      <c r="J114" s="27"/>
    </row>
    <row r="115" spans="1:10">
      <c r="A115" s="27"/>
      <c r="B115" s="27"/>
      <c r="C115" s="27"/>
      <c r="D115" s="27"/>
      <c r="E115" s="27"/>
      <c r="F115" s="27"/>
      <c r="G115" s="27"/>
      <c r="H115" s="27"/>
      <c r="I115" s="27"/>
      <c r="J115" s="27"/>
    </row>
    <row r="116" spans="1:10">
      <c r="A116" s="27"/>
      <c r="B116" s="27"/>
      <c r="C116" s="27"/>
      <c r="D116" s="27"/>
      <c r="E116" s="27"/>
      <c r="F116" s="27"/>
      <c r="G116" s="27"/>
      <c r="H116" s="27"/>
      <c r="I116" s="27"/>
      <c r="J116" s="27"/>
    </row>
    <row r="117" spans="1:10">
      <c r="A117" s="27"/>
      <c r="B117" s="27"/>
      <c r="C117" s="27"/>
      <c r="D117" s="27"/>
      <c r="E117" s="27"/>
      <c r="F117" s="27"/>
      <c r="G117" s="27"/>
      <c r="H117" s="27"/>
      <c r="I117" s="27"/>
      <c r="J117" s="27"/>
    </row>
    <row r="118" spans="1:10">
      <c r="A118" s="27"/>
      <c r="B118" s="27"/>
      <c r="C118" s="27"/>
      <c r="D118" s="27"/>
      <c r="E118" s="27"/>
      <c r="F118" s="27"/>
      <c r="G118" s="27"/>
      <c r="H118" s="27"/>
      <c r="I118" s="27"/>
      <c r="J118" s="27"/>
    </row>
    <row r="119" spans="1:10">
      <c r="A119" s="27"/>
      <c r="B119" s="27"/>
      <c r="C119" s="27"/>
      <c r="D119" s="27"/>
      <c r="E119" s="27"/>
      <c r="F119" s="27"/>
      <c r="G119" s="27"/>
      <c r="H119" s="27"/>
      <c r="I119" s="27"/>
      <c r="J119" s="27"/>
    </row>
    <row r="120" spans="1:10">
      <c r="A120" s="27"/>
      <c r="B120" s="27"/>
      <c r="C120" s="27"/>
      <c r="D120" s="27"/>
      <c r="E120" s="27"/>
      <c r="F120" s="27"/>
      <c r="G120" s="27"/>
      <c r="H120" s="27"/>
      <c r="I120" s="27"/>
      <c r="J120" s="27"/>
    </row>
    <row r="121" spans="1:10">
      <c r="A121" s="27"/>
      <c r="B121" s="27"/>
      <c r="C121" s="27"/>
      <c r="D121" s="27"/>
      <c r="E121" s="27"/>
      <c r="F121" s="27"/>
      <c r="G121" s="27"/>
      <c r="H121" s="27"/>
      <c r="I121" s="27"/>
      <c r="J121" s="27"/>
    </row>
    <row r="122" spans="1:10">
      <c r="A122" s="27"/>
      <c r="B122" s="27"/>
      <c r="C122" s="27"/>
      <c r="D122" s="27"/>
      <c r="E122" s="27"/>
      <c r="F122" s="27"/>
      <c r="G122" s="27"/>
      <c r="H122" s="27"/>
      <c r="I122" s="27"/>
      <c r="J122" s="27"/>
    </row>
    <row r="123" spans="1:10">
      <c r="A123" s="27"/>
      <c r="B123" s="27"/>
      <c r="C123" s="27"/>
      <c r="D123" s="27"/>
      <c r="E123" s="27"/>
      <c r="F123" s="27"/>
      <c r="G123" s="27"/>
      <c r="H123" s="27"/>
      <c r="I123" s="27"/>
      <c r="J123" s="27"/>
    </row>
    <row r="124" spans="1:10">
      <c r="A124" s="27"/>
      <c r="B124" s="27"/>
      <c r="C124" s="27"/>
      <c r="D124" s="27"/>
      <c r="E124" s="27"/>
      <c r="F124" s="27"/>
      <c r="G124" s="27"/>
      <c r="H124" s="27"/>
      <c r="I124" s="27"/>
      <c r="J124" s="27"/>
    </row>
    <row r="125" spans="1:10">
      <c r="A125" s="27"/>
      <c r="B125" s="27"/>
      <c r="C125" s="27"/>
      <c r="D125" s="27"/>
      <c r="E125" s="27"/>
      <c r="F125" s="27"/>
      <c r="G125" s="27"/>
      <c r="H125" s="27"/>
      <c r="I125" s="27"/>
      <c r="J125" s="27"/>
    </row>
    <row r="126" spans="1:10">
      <c r="A126" s="27"/>
      <c r="B126" s="27"/>
      <c r="C126" s="27"/>
      <c r="D126" s="27"/>
      <c r="E126" s="27"/>
      <c r="F126" s="27"/>
      <c r="G126" s="27"/>
      <c r="H126" s="27"/>
      <c r="I126" s="27"/>
      <c r="J126" s="27"/>
    </row>
    <row r="127" spans="1:10">
      <c r="A127" s="27"/>
      <c r="B127" s="27"/>
      <c r="C127" s="27"/>
      <c r="D127" s="27"/>
      <c r="E127" s="27"/>
      <c r="F127" s="27"/>
      <c r="G127" s="27"/>
      <c r="H127" s="27"/>
      <c r="I127" s="27"/>
      <c r="J127" s="27"/>
    </row>
    <row r="128" spans="1:10">
      <c r="A128" s="27"/>
      <c r="B128" s="27"/>
      <c r="C128" s="27"/>
      <c r="D128" s="27"/>
      <c r="E128" s="27"/>
      <c r="F128" s="27"/>
      <c r="G128" s="27"/>
      <c r="H128" s="27"/>
      <c r="I128" s="27"/>
      <c r="J128" s="27"/>
    </row>
    <row r="129" spans="1:10">
      <c r="A129" s="27"/>
      <c r="B129" s="27"/>
      <c r="C129" s="27"/>
      <c r="D129" s="27"/>
      <c r="E129" s="27"/>
      <c r="F129" s="27"/>
      <c r="G129" s="27"/>
      <c r="H129" s="27"/>
      <c r="I129" s="27"/>
      <c r="J129" s="27"/>
    </row>
    <row r="130" spans="1:10">
      <c r="A130" s="27"/>
      <c r="B130" s="27"/>
      <c r="C130" s="27"/>
      <c r="D130" s="27"/>
      <c r="E130" s="27"/>
      <c r="F130" s="27"/>
      <c r="G130" s="27"/>
      <c r="H130" s="27"/>
      <c r="I130" s="27"/>
      <c r="J130" s="27"/>
    </row>
    <row r="131" spans="1:10">
      <c r="A131" s="27"/>
      <c r="B131" s="27"/>
      <c r="C131" s="27"/>
      <c r="D131" s="27"/>
      <c r="E131" s="27"/>
      <c r="F131" s="27"/>
      <c r="G131" s="27"/>
      <c r="H131" s="27"/>
      <c r="I131" s="27"/>
      <c r="J131" s="27"/>
    </row>
    <row r="132" spans="1:10">
      <c r="A132" s="27"/>
      <c r="B132" s="27"/>
      <c r="C132" s="27"/>
      <c r="D132" s="27"/>
      <c r="E132" s="27"/>
      <c r="F132" s="27"/>
      <c r="G132" s="27"/>
      <c r="H132" s="27"/>
      <c r="I132" s="27"/>
      <c r="J132" s="27"/>
    </row>
    <row r="133" spans="1:10">
      <c r="A133" s="27"/>
      <c r="B133" s="27"/>
      <c r="C133" s="27"/>
      <c r="D133" s="27"/>
      <c r="E133" s="27"/>
      <c r="F133" s="27"/>
      <c r="G133" s="27"/>
      <c r="H133" s="27"/>
      <c r="I133" s="27"/>
      <c r="J133" s="27"/>
    </row>
    <row r="134" spans="1:10">
      <c r="A134" s="27"/>
      <c r="B134" s="27"/>
      <c r="C134" s="27"/>
      <c r="D134" s="27"/>
      <c r="E134" s="27"/>
      <c r="F134" s="27"/>
      <c r="G134" s="27"/>
      <c r="H134" s="27"/>
      <c r="I134" s="27"/>
      <c r="J134" s="27"/>
    </row>
    <row r="135" spans="1:10">
      <c r="A135" s="27"/>
      <c r="B135" s="27"/>
      <c r="C135" s="27"/>
      <c r="D135" s="27"/>
      <c r="E135" s="27"/>
      <c r="F135" s="27"/>
      <c r="G135" s="27"/>
      <c r="H135" s="27"/>
      <c r="I135" s="27"/>
      <c r="J135" s="27"/>
    </row>
    <row r="136" spans="1:10">
      <c r="A136" s="27"/>
      <c r="B136" s="27"/>
      <c r="C136" s="27"/>
      <c r="D136" s="27"/>
      <c r="E136" s="27"/>
      <c r="F136" s="27"/>
      <c r="G136" s="27"/>
      <c r="H136" s="27"/>
      <c r="I136" s="27"/>
      <c r="J136" s="27"/>
    </row>
    <row r="137" spans="1:10">
      <c r="A137" s="27"/>
      <c r="B137" s="27"/>
      <c r="C137" s="27"/>
      <c r="D137" s="27"/>
      <c r="E137" s="27"/>
      <c r="F137" s="27"/>
      <c r="G137" s="27"/>
      <c r="H137" s="27"/>
      <c r="I137" s="27"/>
      <c r="J137" s="27"/>
    </row>
    <row r="138" spans="1:10">
      <c r="A138" s="27"/>
      <c r="B138" s="27"/>
      <c r="C138" s="27"/>
      <c r="D138" s="27"/>
      <c r="E138" s="27"/>
      <c r="F138" s="27"/>
      <c r="G138" s="27"/>
      <c r="H138" s="27"/>
      <c r="I138" s="27"/>
      <c r="J138" s="27"/>
    </row>
    <row r="139" spans="1:10">
      <c r="A139" s="27"/>
      <c r="B139" s="27"/>
      <c r="C139" s="27"/>
      <c r="D139" s="27"/>
      <c r="E139" s="27"/>
      <c r="F139" s="27"/>
      <c r="G139" s="27"/>
      <c r="H139" s="27"/>
      <c r="I139" s="27"/>
      <c r="J139" s="27"/>
    </row>
    <row r="140" spans="1:10">
      <c r="A140" s="27"/>
      <c r="B140" s="27"/>
      <c r="C140" s="27"/>
      <c r="D140" s="27"/>
      <c r="E140" s="27"/>
      <c r="F140" s="27"/>
      <c r="G140" s="27"/>
      <c r="H140" s="27"/>
      <c r="I140" s="27"/>
      <c r="J140" s="27"/>
    </row>
    <row r="141" spans="1:10">
      <c r="A141" s="27"/>
      <c r="B141" s="27"/>
      <c r="C141" s="27"/>
      <c r="D141" s="27"/>
      <c r="E141" s="27"/>
      <c r="F141" s="27"/>
      <c r="G141" s="27"/>
      <c r="H141" s="27"/>
      <c r="I141" s="27"/>
      <c r="J141" s="27"/>
    </row>
    <row r="142" spans="1:10">
      <c r="A142" s="27"/>
      <c r="B142" s="27"/>
      <c r="C142" s="27"/>
      <c r="D142" s="27"/>
      <c r="E142" s="27"/>
      <c r="F142" s="27"/>
      <c r="G142" s="27"/>
      <c r="H142" s="27"/>
      <c r="I142" s="27"/>
      <c r="J142" s="27"/>
    </row>
    <row r="143" spans="1:10">
      <c r="A143" s="27"/>
      <c r="B143" s="27"/>
      <c r="C143" s="27"/>
      <c r="D143" s="27"/>
      <c r="E143" s="27"/>
      <c r="F143" s="27"/>
      <c r="G143" s="27"/>
      <c r="H143" s="27"/>
      <c r="I143" s="27"/>
      <c r="J143" s="27"/>
    </row>
    <row r="144" spans="1:10">
      <c r="A144" s="27"/>
      <c r="B144" s="27"/>
      <c r="C144" s="27"/>
      <c r="D144" s="27"/>
      <c r="E144" s="27"/>
      <c r="F144" s="27"/>
      <c r="G144" s="27"/>
      <c r="H144" s="27"/>
      <c r="I144" s="27"/>
      <c r="J144" s="27"/>
    </row>
    <row r="145" spans="1:10">
      <c r="A145" s="27"/>
      <c r="B145" s="27"/>
      <c r="C145" s="27"/>
      <c r="D145" s="27"/>
      <c r="E145" s="27"/>
      <c r="F145" s="27"/>
      <c r="G145" s="27"/>
      <c r="H145" s="27"/>
      <c r="I145" s="27"/>
      <c r="J145" s="27"/>
    </row>
    <row r="146" spans="1:10">
      <c r="A146" s="27"/>
      <c r="B146" s="27"/>
      <c r="C146" s="27"/>
      <c r="D146" s="27"/>
      <c r="E146" s="27"/>
      <c r="F146" s="27"/>
      <c r="G146" s="27"/>
      <c r="H146" s="27"/>
      <c r="I146" s="27"/>
      <c r="J146" s="27"/>
    </row>
    <row r="147" spans="1:10">
      <c r="A147" s="27"/>
      <c r="B147" s="27"/>
      <c r="C147" s="27"/>
      <c r="D147" s="27"/>
      <c r="E147" s="27"/>
      <c r="F147" s="27"/>
      <c r="G147" s="27"/>
      <c r="H147" s="27"/>
      <c r="I147" s="27"/>
      <c r="J147" s="27"/>
    </row>
    <row r="148" spans="1:10">
      <c r="A148" s="27"/>
      <c r="B148" s="27"/>
      <c r="C148" s="27"/>
      <c r="D148" s="27"/>
      <c r="E148" s="27"/>
      <c r="F148" s="27"/>
      <c r="G148" s="27"/>
      <c r="H148" s="27"/>
      <c r="I148" s="27"/>
      <c r="J148" s="27"/>
    </row>
    <row r="149" spans="1:10">
      <c r="A149" s="27"/>
      <c r="B149" s="27"/>
      <c r="C149" s="27"/>
      <c r="D149" s="27"/>
      <c r="E149" s="27"/>
      <c r="F149" s="27"/>
      <c r="G149" s="27"/>
      <c r="H149" s="27"/>
      <c r="I149" s="27"/>
      <c r="J149" s="27"/>
    </row>
    <row r="150" spans="1:10">
      <c r="A150" s="27"/>
      <c r="B150" s="27"/>
      <c r="C150" s="27"/>
      <c r="D150" s="27"/>
      <c r="E150" s="27"/>
      <c r="F150" s="27"/>
      <c r="G150" s="27"/>
      <c r="H150" s="27"/>
      <c r="I150" s="27"/>
      <c r="J150" s="27"/>
    </row>
    <row r="151" spans="1:10">
      <c r="A151" s="27"/>
      <c r="B151" s="27"/>
      <c r="C151" s="27"/>
      <c r="D151" s="27"/>
      <c r="E151" s="27"/>
      <c r="F151" s="27"/>
      <c r="G151" s="27"/>
      <c r="H151" s="27"/>
      <c r="I151" s="27"/>
      <c r="J151" s="27"/>
    </row>
    <row r="152" spans="1:10">
      <c r="A152" s="27"/>
      <c r="B152" s="27"/>
      <c r="C152" s="27"/>
      <c r="D152" s="27"/>
      <c r="E152" s="27"/>
      <c r="F152" s="27"/>
      <c r="G152" s="27"/>
      <c r="H152" s="27"/>
      <c r="I152" s="27"/>
      <c r="J152" s="27"/>
    </row>
    <row r="153" spans="1:10">
      <c r="A153" s="27"/>
      <c r="B153" s="27"/>
      <c r="C153" s="27"/>
      <c r="D153" s="27"/>
      <c r="E153" s="27"/>
      <c r="F153" s="27"/>
      <c r="G153" s="27"/>
      <c r="H153" s="27"/>
      <c r="I153" s="27"/>
      <c r="J153" s="27"/>
    </row>
    <row r="154" spans="1:10">
      <c r="A154" s="27"/>
      <c r="B154" s="27"/>
      <c r="C154" s="27"/>
      <c r="D154" s="27"/>
      <c r="E154" s="27"/>
      <c r="F154" s="27"/>
      <c r="G154" s="27"/>
      <c r="H154" s="27"/>
      <c r="I154" s="27"/>
      <c r="J154" s="27"/>
    </row>
    <row r="155" spans="1:10">
      <c r="A155" s="27"/>
      <c r="B155" s="27"/>
      <c r="C155" s="27"/>
      <c r="D155" s="27"/>
      <c r="E155" s="27"/>
      <c r="F155" s="27"/>
      <c r="G155" s="27"/>
      <c r="H155" s="27"/>
      <c r="I155" s="27"/>
      <c r="J155" s="27"/>
    </row>
    <row r="156" spans="1:10">
      <c r="A156" s="27"/>
      <c r="B156" s="27"/>
      <c r="C156" s="27"/>
      <c r="D156" s="27"/>
      <c r="E156" s="27"/>
      <c r="F156" s="27"/>
      <c r="G156" s="27"/>
      <c r="H156" s="27"/>
      <c r="I156" s="27"/>
      <c r="J156" s="27"/>
    </row>
    <row r="157" spans="1:10">
      <c r="A157" s="27"/>
      <c r="B157" s="27"/>
      <c r="C157" s="27"/>
      <c r="D157" s="27"/>
      <c r="E157" s="27"/>
      <c r="F157" s="27"/>
      <c r="G157" s="27"/>
      <c r="H157" s="27"/>
      <c r="I157" s="27"/>
      <c r="J157" s="27"/>
    </row>
    <row r="158" spans="1:10">
      <c r="A158" s="27"/>
      <c r="B158" s="27"/>
      <c r="C158" s="27"/>
      <c r="D158" s="27"/>
      <c r="E158" s="27"/>
      <c r="F158" s="27"/>
      <c r="G158" s="27"/>
      <c r="H158" s="27"/>
      <c r="I158" s="27"/>
      <c r="J158" s="27"/>
    </row>
    <row r="159" spans="1:10">
      <c r="A159" s="27"/>
      <c r="B159" s="27"/>
      <c r="C159" s="27"/>
      <c r="D159" s="27"/>
      <c r="E159" s="27"/>
      <c r="F159" s="27"/>
      <c r="G159" s="27"/>
      <c r="H159" s="27"/>
      <c r="I159" s="27"/>
      <c r="J159" s="27"/>
    </row>
    <row r="160" spans="1:10">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row r="217" spans="1:10">
      <c r="A217" s="27"/>
      <c r="B217" s="27"/>
      <c r="C217" s="27"/>
      <c r="D217" s="27"/>
      <c r="E217" s="27"/>
      <c r="F217" s="27"/>
      <c r="G217" s="27"/>
      <c r="H217" s="27"/>
      <c r="I217" s="27"/>
      <c r="J217" s="27"/>
    </row>
    <row r="218" spans="1:10">
      <c r="A218" s="27"/>
      <c r="B218" s="27"/>
      <c r="C218" s="27"/>
      <c r="D218" s="27"/>
      <c r="E218" s="27"/>
      <c r="F218" s="27"/>
      <c r="G218" s="27"/>
      <c r="H218" s="27"/>
      <c r="I218" s="27"/>
      <c r="J218" s="27"/>
    </row>
    <row r="219" spans="1:10">
      <c r="A219" s="27"/>
      <c r="B219" s="27"/>
      <c r="C219" s="27"/>
      <c r="D219" s="27"/>
      <c r="E219" s="27"/>
      <c r="F219" s="27"/>
      <c r="G219" s="27"/>
      <c r="H219" s="27"/>
      <c r="I219" s="27"/>
      <c r="J219" s="27"/>
    </row>
    <row r="220" spans="1:10">
      <c r="A220" s="27"/>
      <c r="B220" s="27"/>
      <c r="C220" s="27"/>
      <c r="D220" s="27"/>
      <c r="E220" s="27"/>
      <c r="F220" s="27"/>
      <c r="G220" s="27"/>
      <c r="H220" s="27"/>
      <c r="I220" s="27"/>
      <c r="J220" s="27"/>
    </row>
  </sheetData>
  <mergeCells count="28">
    <mergeCell ref="I20:I26"/>
    <mergeCell ref="A10:A17"/>
    <mergeCell ref="B10:B17"/>
    <mergeCell ref="C10:C17"/>
    <mergeCell ref="D10:D17"/>
    <mergeCell ref="E10:E17"/>
    <mergeCell ref="I11:I17"/>
    <mergeCell ref="A20:A26"/>
    <mergeCell ref="B20:B26"/>
    <mergeCell ref="C20:C26"/>
    <mergeCell ref="D20:D26"/>
    <mergeCell ref="E20:E26"/>
    <mergeCell ref="F10:F17"/>
    <mergeCell ref="F20:F26"/>
    <mergeCell ref="I4:I6"/>
    <mergeCell ref="A2:A3"/>
    <mergeCell ref="B2:B3"/>
    <mergeCell ref="C2:C3"/>
    <mergeCell ref="D2:D3"/>
    <mergeCell ref="E2:E3"/>
    <mergeCell ref="I2:I3"/>
    <mergeCell ref="A4:A6"/>
    <mergeCell ref="B4:B6"/>
    <mergeCell ref="C4:C6"/>
    <mergeCell ref="D4:D6"/>
    <mergeCell ref="E4:E6"/>
    <mergeCell ref="F2:F3"/>
    <mergeCell ref="F4:F6"/>
  </mergeCells>
  <phoneticPr fontId="1" type="noConversion"/>
  <conditionalFormatting sqref="A1:E26 G1:K26">
    <cfRule type="containsText" dxfId="24" priority="3" operator="containsText" text="TBD">
      <formula>NOT(ISERROR(SEARCH("TBD",A1)))</formula>
    </cfRule>
  </conditionalFormatting>
  <conditionalFormatting sqref="F2:F26">
    <cfRule type="containsText" dxfId="23" priority="2" operator="containsText" text="TBD">
      <formula>NOT(ISERROR(SEARCH("TBD",F2)))</formula>
    </cfRule>
  </conditionalFormatting>
  <conditionalFormatting sqref="F1">
    <cfRule type="containsText" dxfId="22" priority="1" operator="containsText" text="TBD">
      <formula>NOT(ISERROR(SEARCH("TBD",F1)))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3A4CE-9737-4D17-B917-088AC2795166}">
  <dimension ref="A1:K220"/>
  <sheetViews>
    <sheetView zoomScale="52" zoomScaleNormal="65" workbookViewId="0">
      <selection activeCell="G6" sqref="A1:K42"/>
    </sheetView>
  </sheetViews>
  <sheetFormatPr defaultColWidth="52.9140625" defaultRowHeight="17"/>
  <cols>
    <col min="1" max="1" width="15.9140625" customWidth="1"/>
    <col min="2" max="2" width="26.1640625" bestFit="1" customWidth="1"/>
    <col min="3" max="3" width="62.25" customWidth="1"/>
    <col min="4" max="4" width="47.4140625" bestFit="1" customWidth="1"/>
    <col min="5" max="5" width="22.6640625" bestFit="1" customWidth="1"/>
    <col min="6" max="6" width="15.9140625" customWidth="1"/>
    <col min="7" max="7" width="89.4140625" customWidth="1"/>
    <col min="8" max="8" width="52.5" bestFit="1" customWidth="1"/>
    <col min="9" max="9" width="32.83203125" bestFit="1" customWidth="1"/>
    <col min="10" max="10" width="9.33203125" bestFit="1" customWidth="1"/>
    <col min="11" max="11" width="87.5" customWidth="1"/>
  </cols>
  <sheetData>
    <row r="1" spans="1:11" ht="17.5" thickBot="1">
      <c r="A1" s="24" t="s">
        <v>418</v>
      </c>
      <c r="B1" s="1" t="s">
        <v>11</v>
      </c>
      <c r="C1" s="1" t="s">
        <v>12</v>
      </c>
      <c r="D1" s="1" t="s">
        <v>13</v>
      </c>
      <c r="E1" s="22" t="s">
        <v>408</v>
      </c>
      <c r="F1" s="22" t="s">
        <v>422</v>
      </c>
      <c r="G1" s="22" t="s">
        <v>417</v>
      </c>
      <c r="H1" s="22" t="s">
        <v>407</v>
      </c>
      <c r="I1" s="1" t="s">
        <v>14</v>
      </c>
      <c r="J1" s="1" t="s">
        <v>15</v>
      </c>
      <c r="K1" s="1" t="s">
        <v>440</v>
      </c>
    </row>
    <row r="2" spans="1:11" ht="51.5" thickBot="1">
      <c r="A2" s="47" t="s">
        <v>291</v>
      </c>
      <c r="B2" s="47" t="s">
        <v>18</v>
      </c>
      <c r="C2" s="44" t="s">
        <v>292</v>
      </c>
      <c r="D2" s="44" t="s">
        <v>293</v>
      </c>
      <c r="E2" s="3" t="s">
        <v>294</v>
      </c>
      <c r="F2" s="47" t="s">
        <v>423</v>
      </c>
      <c r="G2" s="3" t="s">
        <v>295</v>
      </c>
      <c r="H2" s="3" t="s">
        <v>359</v>
      </c>
      <c r="I2" s="7"/>
      <c r="J2" s="8" t="s">
        <v>128</v>
      </c>
      <c r="K2" s="7"/>
    </row>
    <row r="3" spans="1:11" ht="34.5" thickBot="1">
      <c r="A3" s="48"/>
      <c r="B3" s="48"/>
      <c r="C3" s="45"/>
      <c r="D3" s="45"/>
      <c r="E3" s="3" t="s">
        <v>294</v>
      </c>
      <c r="F3" s="48"/>
      <c r="G3" s="3" t="s">
        <v>296</v>
      </c>
      <c r="H3" s="3" t="s">
        <v>297</v>
      </c>
      <c r="I3" s="7"/>
      <c r="J3" s="8" t="s">
        <v>128</v>
      </c>
      <c r="K3" s="7"/>
    </row>
    <row r="4" spans="1:11" ht="102.5" thickBot="1">
      <c r="A4" s="49"/>
      <c r="B4" s="49"/>
      <c r="C4" s="46"/>
      <c r="D4" s="46"/>
      <c r="E4" s="3" t="s">
        <v>294</v>
      </c>
      <c r="F4" s="49"/>
      <c r="G4" s="3" t="s">
        <v>298</v>
      </c>
      <c r="H4" s="3" t="s">
        <v>299</v>
      </c>
      <c r="I4" s="7"/>
      <c r="J4" s="8" t="s">
        <v>128</v>
      </c>
      <c r="K4" s="7"/>
    </row>
    <row r="5" spans="1:11" ht="102.5" thickBot="1">
      <c r="A5" s="47" t="s">
        <v>300</v>
      </c>
      <c r="B5" s="47" t="s">
        <v>195</v>
      </c>
      <c r="C5" s="44" t="s">
        <v>301</v>
      </c>
      <c r="D5" s="44" t="s">
        <v>293</v>
      </c>
      <c r="E5" s="3" t="s">
        <v>294</v>
      </c>
      <c r="F5" s="47" t="s">
        <v>424</v>
      </c>
      <c r="G5" s="3" t="s">
        <v>302</v>
      </c>
      <c r="H5" s="3" t="s">
        <v>299</v>
      </c>
      <c r="I5" s="7"/>
      <c r="J5" s="8" t="s">
        <v>128</v>
      </c>
      <c r="K5" s="7"/>
    </row>
    <row r="6" spans="1:11" ht="102.5" thickBot="1">
      <c r="A6" s="48"/>
      <c r="B6" s="48"/>
      <c r="C6" s="45"/>
      <c r="D6" s="45"/>
      <c r="E6" s="3" t="s">
        <v>294</v>
      </c>
      <c r="F6" s="48"/>
      <c r="G6" s="3" t="s">
        <v>200</v>
      </c>
      <c r="H6" s="3" t="s">
        <v>303</v>
      </c>
      <c r="I6" s="7"/>
      <c r="J6" s="8" t="s">
        <v>128</v>
      </c>
      <c r="K6" s="7"/>
    </row>
    <row r="7" spans="1:11" ht="102.5" thickBot="1">
      <c r="A7" s="49"/>
      <c r="B7" s="49"/>
      <c r="C7" s="46"/>
      <c r="D7" s="46"/>
      <c r="E7" s="3" t="s">
        <v>294</v>
      </c>
      <c r="F7" s="49"/>
      <c r="G7" s="3" t="s">
        <v>203</v>
      </c>
      <c r="H7" s="3" t="s">
        <v>299</v>
      </c>
      <c r="I7" s="7"/>
      <c r="J7" s="8" t="s">
        <v>128</v>
      </c>
      <c r="K7" s="7"/>
    </row>
    <row r="8" spans="1:11" ht="102.5" thickBot="1">
      <c r="A8" s="47" t="s">
        <v>304</v>
      </c>
      <c r="B8" s="47" t="s">
        <v>305</v>
      </c>
      <c r="C8" s="44" t="s">
        <v>306</v>
      </c>
      <c r="D8" s="44" t="s">
        <v>307</v>
      </c>
      <c r="E8" s="3" t="s">
        <v>294</v>
      </c>
      <c r="F8" s="47" t="s">
        <v>428</v>
      </c>
      <c r="G8" s="3" t="s">
        <v>302</v>
      </c>
      <c r="H8" s="3" t="s">
        <v>299</v>
      </c>
      <c r="I8" s="7"/>
      <c r="J8" s="8" t="s">
        <v>128</v>
      </c>
      <c r="K8" s="7"/>
    </row>
    <row r="9" spans="1:11" ht="51.5" thickBot="1">
      <c r="A9" s="49"/>
      <c r="B9" s="49"/>
      <c r="C9" s="46"/>
      <c r="D9" s="46"/>
      <c r="E9" s="3" t="s">
        <v>294</v>
      </c>
      <c r="F9" s="49"/>
      <c r="G9" s="3" t="s">
        <v>308</v>
      </c>
      <c r="H9" s="3" t="s">
        <v>309</v>
      </c>
      <c r="I9" s="7"/>
      <c r="J9" s="8" t="s">
        <v>128</v>
      </c>
      <c r="K9" s="7"/>
    </row>
    <row r="10" spans="1:11" ht="102.5" thickBot="1">
      <c r="A10" s="47" t="s">
        <v>310</v>
      </c>
      <c r="B10" s="47" t="s">
        <v>311</v>
      </c>
      <c r="C10" s="44" t="s">
        <v>312</v>
      </c>
      <c r="D10" s="44" t="s">
        <v>313</v>
      </c>
      <c r="E10" s="3" t="s">
        <v>294</v>
      </c>
      <c r="F10" s="47" t="s">
        <v>429</v>
      </c>
      <c r="G10" s="3" t="s">
        <v>302</v>
      </c>
      <c r="H10" s="3" t="s">
        <v>299</v>
      </c>
      <c r="I10" s="44" t="s">
        <v>314</v>
      </c>
      <c r="J10" s="8" t="s">
        <v>128</v>
      </c>
      <c r="K10" s="7"/>
    </row>
    <row r="11" spans="1:11" ht="119.5" thickBot="1">
      <c r="A11" s="49"/>
      <c r="B11" s="49"/>
      <c r="C11" s="46"/>
      <c r="D11" s="46"/>
      <c r="E11" s="3" t="s">
        <v>294</v>
      </c>
      <c r="F11" s="49"/>
      <c r="G11" s="3" t="s">
        <v>315</v>
      </c>
      <c r="H11" s="3" t="s">
        <v>316</v>
      </c>
      <c r="I11" s="46"/>
      <c r="J11" s="8" t="s">
        <v>128</v>
      </c>
      <c r="K11" s="7"/>
    </row>
    <row r="12" spans="1:11" ht="102.5" thickBot="1">
      <c r="A12" s="47" t="s">
        <v>317</v>
      </c>
      <c r="B12" s="47" t="s">
        <v>318</v>
      </c>
      <c r="C12" s="44" t="s">
        <v>319</v>
      </c>
      <c r="D12" s="44" t="s">
        <v>320</v>
      </c>
      <c r="E12" s="44" t="s">
        <v>321</v>
      </c>
      <c r="F12" s="47" t="s">
        <v>430</v>
      </c>
      <c r="G12" s="3" t="s">
        <v>302</v>
      </c>
      <c r="H12" s="3" t="s">
        <v>299</v>
      </c>
      <c r="I12" s="7"/>
      <c r="J12" s="8" t="s">
        <v>128</v>
      </c>
      <c r="K12" s="7"/>
    </row>
    <row r="13" spans="1:11" ht="68.5" thickBot="1">
      <c r="A13" s="48"/>
      <c r="B13" s="48"/>
      <c r="C13" s="45"/>
      <c r="D13" s="45"/>
      <c r="E13" s="45"/>
      <c r="F13" s="48"/>
      <c r="G13" s="3" t="s">
        <v>322</v>
      </c>
      <c r="H13" s="3" t="s">
        <v>323</v>
      </c>
      <c r="I13" s="7"/>
      <c r="J13" s="8" t="s">
        <v>128</v>
      </c>
      <c r="K13" s="7"/>
    </row>
    <row r="14" spans="1:11" ht="34.5" thickBot="1">
      <c r="A14" s="48"/>
      <c r="B14" s="48"/>
      <c r="C14" s="45"/>
      <c r="D14" s="45"/>
      <c r="E14" s="45"/>
      <c r="F14" s="48"/>
      <c r="G14" s="3" t="s">
        <v>324</v>
      </c>
      <c r="H14" s="3" t="s">
        <v>325</v>
      </c>
      <c r="I14" s="7"/>
      <c r="J14" s="8" t="s">
        <v>128</v>
      </c>
      <c r="K14" s="7"/>
    </row>
    <row r="15" spans="1:11" ht="102.5" thickBot="1">
      <c r="A15" s="48"/>
      <c r="B15" s="48"/>
      <c r="C15" s="45"/>
      <c r="D15" s="45"/>
      <c r="E15" s="45"/>
      <c r="F15" s="48"/>
      <c r="G15" s="3" t="s">
        <v>326</v>
      </c>
      <c r="H15" s="3" t="s">
        <v>106</v>
      </c>
      <c r="I15" s="7"/>
      <c r="J15" s="8" t="s">
        <v>128</v>
      </c>
      <c r="K15" s="7"/>
    </row>
    <row r="16" spans="1:11" ht="85.5" thickBot="1">
      <c r="A16" s="48"/>
      <c r="B16" s="48"/>
      <c r="C16" s="45"/>
      <c r="D16" s="45"/>
      <c r="E16" s="45"/>
      <c r="F16" s="48"/>
      <c r="G16" s="3" t="s">
        <v>327</v>
      </c>
      <c r="H16" s="3" t="s">
        <v>328</v>
      </c>
      <c r="I16" s="7"/>
      <c r="J16" s="8" t="s">
        <v>128</v>
      </c>
      <c r="K16" s="6" t="s">
        <v>329</v>
      </c>
    </row>
    <row r="17" spans="1:11" ht="51.5" thickBot="1">
      <c r="A17" s="49"/>
      <c r="B17" s="49"/>
      <c r="C17" s="46"/>
      <c r="D17" s="46"/>
      <c r="E17" s="46"/>
      <c r="F17" s="49"/>
      <c r="G17" s="3" t="s">
        <v>330</v>
      </c>
      <c r="H17" s="3" t="s">
        <v>331</v>
      </c>
      <c r="I17" s="7"/>
      <c r="J17" s="8" t="s">
        <v>128</v>
      </c>
      <c r="K17" s="6" t="s">
        <v>332</v>
      </c>
    </row>
    <row r="18" spans="1:11" ht="102.5" thickBot="1">
      <c r="A18" s="47" t="s">
        <v>333</v>
      </c>
      <c r="B18" s="47" t="s">
        <v>334</v>
      </c>
      <c r="C18" s="44" t="s">
        <v>421</v>
      </c>
      <c r="D18" s="44" t="s">
        <v>335</v>
      </c>
      <c r="E18" s="44" t="s">
        <v>321</v>
      </c>
      <c r="F18" s="47" t="s">
        <v>431</v>
      </c>
      <c r="G18" s="3" t="s">
        <v>302</v>
      </c>
      <c r="H18" s="3" t="s">
        <v>299</v>
      </c>
      <c r="I18" s="7"/>
      <c r="J18" s="8" t="s">
        <v>128</v>
      </c>
      <c r="K18" s="7"/>
    </row>
    <row r="19" spans="1:11" ht="68.5" thickBot="1">
      <c r="A19" s="48"/>
      <c r="B19" s="48"/>
      <c r="C19" s="45"/>
      <c r="D19" s="45"/>
      <c r="E19" s="45"/>
      <c r="F19" s="48"/>
      <c r="G19" s="3" t="s">
        <v>322</v>
      </c>
      <c r="H19" s="3" t="s">
        <v>323</v>
      </c>
      <c r="I19" s="7"/>
      <c r="J19" s="8" t="s">
        <v>128</v>
      </c>
      <c r="K19" s="7"/>
    </row>
    <row r="20" spans="1:11" ht="34.5" thickBot="1">
      <c r="A20" s="48"/>
      <c r="B20" s="48"/>
      <c r="C20" s="45"/>
      <c r="D20" s="45"/>
      <c r="E20" s="45"/>
      <c r="F20" s="48"/>
      <c r="G20" s="3" t="s">
        <v>336</v>
      </c>
      <c r="H20" s="3" t="s">
        <v>337</v>
      </c>
      <c r="I20" s="7"/>
      <c r="J20" s="8" t="s">
        <v>128</v>
      </c>
      <c r="K20" s="7"/>
    </row>
    <row r="21" spans="1:11" ht="85.5" thickBot="1">
      <c r="A21" s="48"/>
      <c r="B21" s="48"/>
      <c r="C21" s="45"/>
      <c r="D21" s="45"/>
      <c r="E21" s="45"/>
      <c r="F21" s="48"/>
      <c r="G21" s="3" t="s">
        <v>327</v>
      </c>
      <c r="H21" s="3" t="s">
        <v>338</v>
      </c>
      <c r="I21" s="7"/>
      <c r="J21" s="8" t="s">
        <v>128</v>
      </c>
      <c r="K21" s="6" t="s">
        <v>329</v>
      </c>
    </row>
    <row r="22" spans="1:11" ht="51.5" thickBot="1">
      <c r="A22" s="49"/>
      <c r="B22" s="49"/>
      <c r="C22" s="46"/>
      <c r="D22" s="46"/>
      <c r="E22" s="46"/>
      <c r="F22" s="49"/>
      <c r="G22" s="3" t="s">
        <v>330</v>
      </c>
      <c r="H22" s="3" t="s">
        <v>339</v>
      </c>
      <c r="I22" s="7"/>
      <c r="J22" s="8" t="s">
        <v>128</v>
      </c>
      <c r="K22" s="6" t="s">
        <v>332</v>
      </c>
    </row>
    <row r="23" spans="1:11" ht="102.5" thickBot="1">
      <c r="A23" s="47" t="s">
        <v>340</v>
      </c>
      <c r="B23" s="47" t="s">
        <v>341</v>
      </c>
      <c r="C23" s="44" t="s">
        <v>342</v>
      </c>
      <c r="D23" s="44" t="s">
        <v>320</v>
      </c>
      <c r="E23" s="44" t="s">
        <v>321</v>
      </c>
      <c r="F23" s="47" t="s">
        <v>427</v>
      </c>
      <c r="G23" s="3" t="s">
        <v>302</v>
      </c>
      <c r="H23" s="3" t="s">
        <v>299</v>
      </c>
      <c r="I23" s="44" t="s">
        <v>314</v>
      </c>
      <c r="J23" s="8" t="s">
        <v>128</v>
      </c>
      <c r="K23" s="7"/>
    </row>
    <row r="24" spans="1:11" ht="68.5" thickBot="1">
      <c r="A24" s="48"/>
      <c r="B24" s="48"/>
      <c r="C24" s="45"/>
      <c r="D24" s="45"/>
      <c r="E24" s="45"/>
      <c r="F24" s="48"/>
      <c r="G24" s="3" t="s">
        <v>343</v>
      </c>
      <c r="H24" s="3" t="s">
        <v>316</v>
      </c>
      <c r="I24" s="45"/>
      <c r="J24" s="8" t="s">
        <v>128</v>
      </c>
      <c r="K24" s="7"/>
    </row>
    <row r="25" spans="1:11" ht="34.5" thickBot="1">
      <c r="A25" s="48"/>
      <c r="B25" s="48"/>
      <c r="C25" s="45"/>
      <c r="D25" s="45"/>
      <c r="E25" s="45"/>
      <c r="F25" s="48"/>
      <c r="G25" s="3" t="s">
        <v>324</v>
      </c>
      <c r="H25" s="3" t="s">
        <v>325</v>
      </c>
      <c r="I25" s="45"/>
      <c r="J25" s="8" t="s">
        <v>128</v>
      </c>
      <c r="K25" s="7"/>
    </row>
    <row r="26" spans="1:11" ht="85.5" thickBot="1">
      <c r="A26" s="48"/>
      <c r="B26" s="48"/>
      <c r="C26" s="45"/>
      <c r="D26" s="45"/>
      <c r="E26" s="45"/>
      <c r="F26" s="48"/>
      <c r="G26" s="3" t="s">
        <v>327</v>
      </c>
      <c r="H26" s="3" t="s">
        <v>328</v>
      </c>
      <c r="I26" s="45"/>
      <c r="J26" s="8" t="s">
        <v>128</v>
      </c>
      <c r="K26" s="6" t="s">
        <v>329</v>
      </c>
    </row>
    <row r="27" spans="1:11" ht="51.5" thickBot="1">
      <c r="A27" s="49"/>
      <c r="B27" s="49"/>
      <c r="C27" s="46"/>
      <c r="D27" s="46"/>
      <c r="E27" s="46"/>
      <c r="F27" s="49"/>
      <c r="G27" s="3" t="s">
        <v>330</v>
      </c>
      <c r="H27" s="3" t="s">
        <v>339</v>
      </c>
      <c r="I27" s="46"/>
      <c r="J27" s="8" t="s">
        <v>128</v>
      </c>
      <c r="K27" s="6" t="s">
        <v>332</v>
      </c>
    </row>
    <row r="28" spans="1:11">
      <c r="A28" s="27"/>
      <c r="B28" s="27"/>
      <c r="C28" s="27"/>
      <c r="D28" s="27"/>
      <c r="E28" s="27"/>
      <c r="F28" s="27"/>
      <c r="G28" s="27"/>
      <c r="H28" s="27"/>
      <c r="I28" s="27"/>
      <c r="J28" s="27"/>
    </row>
    <row r="29" spans="1:11">
      <c r="A29" s="27"/>
      <c r="B29" s="27"/>
      <c r="C29" s="27"/>
      <c r="D29" s="27"/>
      <c r="E29" s="27"/>
      <c r="F29" s="27"/>
      <c r="G29" s="27"/>
      <c r="H29" s="27"/>
      <c r="I29" s="27"/>
      <c r="J29" s="27"/>
    </row>
    <row r="30" spans="1:11">
      <c r="A30" s="27"/>
      <c r="B30" s="27"/>
      <c r="C30" s="27"/>
      <c r="D30" s="27"/>
      <c r="E30" s="27"/>
      <c r="F30" s="27"/>
      <c r="G30" s="27"/>
      <c r="H30" s="27"/>
      <c r="I30" s="27"/>
      <c r="J30" s="27"/>
    </row>
    <row r="31" spans="1:11">
      <c r="A31" s="27"/>
      <c r="B31" s="27"/>
      <c r="C31" s="27"/>
      <c r="D31" s="27"/>
      <c r="E31" s="27"/>
      <c r="F31" s="27"/>
      <c r="G31" s="27"/>
      <c r="H31" s="27"/>
      <c r="I31" s="27"/>
      <c r="J31" s="27"/>
    </row>
    <row r="32" spans="1:11">
      <c r="A32" s="27"/>
      <c r="B32" s="27"/>
      <c r="C32" s="27"/>
      <c r="D32" s="27"/>
      <c r="E32" s="27"/>
      <c r="F32" s="27"/>
      <c r="G32" s="27"/>
      <c r="H32" s="27"/>
      <c r="I32" s="27"/>
      <c r="J32" s="27"/>
    </row>
    <row r="33" spans="1:10">
      <c r="A33" s="27"/>
      <c r="B33" s="27"/>
      <c r="C33" s="27"/>
      <c r="D33" s="27"/>
      <c r="E33" s="27"/>
      <c r="F33" s="27"/>
      <c r="G33" s="27"/>
      <c r="H33" s="27"/>
      <c r="I33" s="27"/>
      <c r="J33" s="27"/>
    </row>
    <row r="34" spans="1:10">
      <c r="A34" s="27"/>
      <c r="B34" s="27"/>
      <c r="C34" s="27"/>
      <c r="D34" s="27"/>
      <c r="E34" s="27"/>
      <c r="F34" s="27"/>
      <c r="G34" s="27"/>
      <c r="H34" s="27"/>
      <c r="I34" s="27"/>
      <c r="J34" s="27"/>
    </row>
    <row r="35" spans="1:10">
      <c r="A35" s="27"/>
      <c r="B35" s="27"/>
      <c r="C35" s="27"/>
      <c r="D35" s="27"/>
      <c r="E35" s="27"/>
      <c r="F35" s="27"/>
      <c r="G35" s="27"/>
      <c r="H35" s="27"/>
      <c r="I35" s="27"/>
      <c r="J35" s="27"/>
    </row>
    <row r="36" spans="1:10">
      <c r="A36" s="27"/>
      <c r="B36" s="27"/>
      <c r="C36" s="27"/>
      <c r="D36" s="27"/>
      <c r="E36" s="27"/>
      <c r="F36" s="27"/>
      <c r="G36" s="27"/>
      <c r="H36" s="27"/>
      <c r="I36" s="27"/>
      <c r="J36" s="27"/>
    </row>
    <row r="37" spans="1:10">
      <c r="A37" s="27"/>
      <c r="B37" s="27"/>
      <c r="C37" s="27"/>
      <c r="D37" s="27"/>
      <c r="E37" s="27"/>
      <c r="F37" s="27"/>
      <c r="G37" s="27"/>
      <c r="H37" s="27"/>
      <c r="I37" s="27"/>
      <c r="J37" s="27"/>
    </row>
    <row r="38" spans="1:10">
      <c r="A38" s="27"/>
      <c r="B38" s="27"/>
      <c r="C38" s="27"/>
      <c r="D38" s="27"/>
      <c r="E38" s="27"/>
      <c r="F38" s="27"/>
      <c r="G38" s="27"/>
      <c r="H38" s="27"/>
      <c r="I38" s="27"/>
      <c r="J38" s="27"/>
    </row>
    <row r="39" spans="1:10">
      <c r="A39" s="27"/>
      <c r="B39" s="27"/>
      <c r="C39" s="27"/>
      <c r="D39" s="27"/>
      <c r="E39" s="27"/>
      <c r="F39" s="27"/>
      <c r="G39" s="27"/>
      <c r="H39" s="27"/>
      <c r="I39" s="27"/>
      <c r="J39" s="27"/>
    </row>
    <row r="40" spans="1:10">
      <c r="A40" s="27"/>
      <c r="B40" s="27"/>
      <c r="C40" s="27"/>
      <c r="D40" s="27"/>
      <c r="E40" s="27"/>
      <c r="F40" s="27"/>
      <c r="G40" s="27"/>
      <c r="H40" s="27"/>
      <c r="I40" s="27"/>
      <c r="J40" s="27"/>
    </row>
    <row r="41" spans="1:10">
      <c r="A41" s="27"/>
      <c r="B41" s="27"/>
      <c r="C41" s="27"/>
      <c r="D41" s="27"/>
      <c r="E41" s="27"/>
      <c r="F41" s="27"/>
      <c r="G41" s="27"/>
      <c r="H41" s="27"/>
      <c r="I41" s="27"/>
      <c r="J41" s="27"/>
    </row>
    <row r="42" spans="1:10">
      <c r="A42" s="27"/>
      <c r="B42" s="27"/>
      <c r="C42" s="27"/>
      <c r="D42" s="27"/>
      <c r="E42" s="27"/>
      <c r="F42" s="27"/>
      <c r="G42" s="27"/>
      <c r="H42" s="27"/>
      <c r="I42" s="27"/>
      <c r="J42" s="27"/>
    </row>
    <row r="43" spans="1:10">
      <c r="A43" s="27"/>
      <c r="B43" s="27"/>
      <c r="C43" s="27"/>
      <c r="D43" s="27"/>
      <c r="E43" s="27"/>
      <c r="F43" s="27"/>
      <c r="G43" s="27"/>
      <c r="H43" s="27"/>
      <c r="I43" s="27"/>
      <c r="J43" s="27"/>
    </row>
    <row r="44" spans="1:10">
      <c r="A44" s="27"/>
      <c r="B44" s="27"/>
      <c r="C44" s="27"/>
      <c r="D44" s="27"/>
      <c r="E44" s="27"/>
      <c r="F44" s="27"/>
      <c r="G44" s="27"/>
      <c r="H44" s="27"/>
      <c r="I44" s="27"/>
      <c r="J44" s="27"/>
    </row>
    <row r="45" spans="1:10">
      <c r="A45" s="27"/>
      <c r="B45" s="27"/>
      <c r="C45" s="27"/>
      <c r="D45" s="27"/>
      <c r="E45" s="27"/>
      <c r="F45" s="27"/>
      <c r="G45" s="27"/>
      <c r="H45" s="27"/>
      <c r="I45" s="27"/>
      <c r="J45" s="27"/>
    </row>
    <row r="46" spans="1:10">
      <c r="A46" s="27"/>
      <c r="B46" s="27"/>
      <c r="C46" s="27"/>
      <c r="D46" s="27"/>
      <c r="E46" s="27"/>
      <c r="F46" s="27"/>
      <c r="G46" s="27"/>
      <c r="H46" s="27"/>
      <c r="I46" s="27"/>
      <c r="J46" s="27"/>
    </row>
    <row r="47" spans="1:10">
      <c r="A47" s="27"/>
      <c r="B47" s="27"/>
      <c r="C47" s="27"/>
      <c r="D47" s="27"/>
      <c r="E47" s="27"/>
      <c r="F47" s="27"/>
      <c r="G47" s="27"/>
      <c r="H47" s="27"/>
      <c r="I47" s="27"/>
      <c r="J47" s="27"/>
    </row>
    <row r="48" spans="1:10">
      <c r="A48" s="27"/>
      <c r="B48" s="27"/>
      <c r="C48" s="27"/>
      <c r="D48" s="27"/>
      <c r="E48" s="27"/>
      <c r="F48" s="27"/>
      <c r="G48" s="27"/>
      <c r="H48" s="27"/>
      <c r="I48" s="27"/>
      <c r="J48" s="27"/>
    </row>
    <row r="49" spans="1:10">
      <c r="A49" s="27"/>
      <c r="B49" s="27"/>
      <c r="C49" s="27"/>
      <c r="D49" s="27"/>
      <c r="E49" s="27"/>
      <c r="F49" s="27"/>
      <c r="G49" s="27"/>
      <c r="H49" s="27"/>
      <c r="I49" s="27"/>
      <c r="J49" s="27"/>
    </row>
    <row r="50" spans="1:10">
      <c r="A50" s="27"/>
      <c r="B50" s="27"/>
      <c r="C50" s="27"/>
      <c r="D50" s="27"/>
      <c r="E50" s="27"/>
      <c r="F50" s="27"/>
      <c r="G50" s="27"/>
      <c r="H50" s="27"/>
      <c r="I50" s="27"/>
      <c r="J50" s="27"/>
    </row>
    <row r="51" spans="1:10">
      <c r="A51" s="27"/>
      <c r="B51" s="27"/>
      <c r="C51" s="27"/>
      <c r="D51" s="27"/>
      <c r="E51" s="27"/>
      <c r="F51" s="27"/>
      <c r="G51" s="27"/>
      <c r="H51" s="27"/>
      <c r="I51" s="27"/>
      <c r="J51" s="27"/>
    </row>
    <row r="52" spans="1:10">
      <c r="A52" s="27"/>
      <c r="B52" s="27"/>
      <c r="C52" s="27"/>
      <c r="D52" s="27"/>
      <c r="E52" s="27"/>
      <c r="F52" s="27"/>
      <c r="G52" s="27"/>
      <c r="H52" s="27"/>
      <c r="I52" s="27"/>
      <c r="J52" s="27"/>
    </row>
    <row r="53" spans="1:10">
      <c r="A53" s="27"/>
      <c r="B53" s="27"/>
      <c r="C53" s="27"/>
      <c r="D53" s="27"/>
      <c r="E53" s="27"/>
      <c r="F53" s="27"/>
      <c r="G53" s="27"/>
      <c r="H53" s="27"/>
      <c r="I53" s="27"/>
      <c r="J53" s="27"/>
    </row>
    <row r="54" spans="1:10">
      <c r="A54" s="27"/>
      <c r="B54" s="27"/>
      <c r="C54" s="27"/>
      <c r="D54" s="27"/>
      <c r="E54" s="27"/>
      <c r="F54" s="27"/>
      <c r="G54" s="27"/>
      <c r="H54" s="27"/>
      <c r="I54" s="27"/>
      <c r="J54" s="27"/>
    </row>
    <row r="55" spans="1:10">
      <c r="A55" s="27"/>
      <c r="B55" s="27"/>
      <c r="C55" s="27"/>
      <c r="D55" s="27"/>
      <c r="E55" s="27"/>
      <c r="F55" s="27"/>
      <c r="G55" s="27"/>
      <c r="H55" s="27"/>
      <c r="I55" s="27"/>
      <c r="J55" s="27"/>
    </row>
    <row r="56" spans="1:10">
      <c r="A56" s="27"/>
      <c r="B56" s="27"/>
      <c r="C56" s="27"/>
      <c r="D56" s="27"/>
      <c r="E56" s="27"/>
      <c r="F56" s="27"/>
      <c r="G56" s="27"/>
      <c r="H56" s="27"/>
      <c r="I56" s="27"/>
      <c r="J56" s="27"/>
    </row>
    <row r="57" spans="1:10">
      <c r="A57" s="27"/>
      <c r="B57" s="27"/>
      <c r="C57" s="27"/>
      <c r="D57" s="27"/>
      <c r="E57" s="27"/>
      <c r="F57" s="27"/>
      <c r="G57" s="27"/>
      <c r="H57" s="27"/>
      <c r="I57" s="27"/>
      <c r="J57" s="27"/>
    </row>
    <row r="58" spans="1:10">
      <c r="A58" s="27"/>
      <c r="B58" s="27"/>
      <c r="C58" s="27"/>
      <c r="D58" s="27"/>
      <c r="E58" s="27"/>
      <c r="F58" s="27"/>
      <c r="G58" s="27"/>
      <c r="H58" s="27"/>
      <c r="I58" s="27"/>
      <c r="J58" s="27"/>
    </row>
    <row r="59" spans="1:10">
      <c r="A59" s="27"/>
      <c r="B59" s="27"/>
      <c r="C59" s="27"/>
      <c r="D59" s="27"/>
      <c r="E59" s="27"/>
      <c r="F59" s="27"/>
      <c r="G59" s="27"/>
      <c r="H59" s="27"/>
      <c r="I59" s="27"/>
      <c r="J59" s="27"/>
    </row>
    <row r="60" spans="1:10">
      <c r="A60" s="27"/>
      <c r="B60" s="27"/>
      <c r="C60" s="27"/>
      <c r="D60" s="27"/>
      <c r="E60" s="27"/>
      <c r="F60" s="27"/>
      <c r="G60" s="27"/>
      <c r="H60" s="27"/>
      <c r="I60" s="27"/>
      <c r="J60" s="27"/>
    </row>
    <row r="61" spans="1:10">
      <c r="A61" s="27"/>
      <c r="B61" s="27"/>
      <c r="C61" s="27"/>
      <c r="D61" s="27"/>
      <c r="E61" s="27"/>
      <c r="F61" s="27"/>
      <c r="G61" s="27"/>
      <c r="H61" s="27"/>
      <c r="I61" s="27"/>
      <c r="J61" s="27"/>
    </row>
    <row r="62" spans="1:10">
      <c r="A62" s="27"/>
      <c r="B62" s="27"/>
      <c r="C62" s="27"/>
      <c r="D62" s="27"/>
      <c r="E62" s="27"/>
      <c r="F62" s="27"/>
      <c r="G62" s="27"/>
      <c r="H62" s="27"/>
      <c r="I62" s="27"/>
      <c r="J62" s="27"/>
    </row>
    <row r="63" spans="1:10">
      <c r="A63" s="27"/>
      <c r="B63" s="27"/>
      <c r="C63" s="27"/>
      <c r="D63" s="27"/>
      <c r="E63" s="27"/>
      <c r="F63" s="27"/>
      <c r="G63" s="27"/>
      <c r="H63" s="27"/>
      <c r="I63" s="27"/>
      <c r="J63" s="27"/>
    </row>
    <row r="64" spans="1:10">
      <c r="A64" s="27"/>
      <c r="B64" s="27"/>
      <c r="C64" s="27"/>
      <c r="D64" s="27"/>
      <c r="E64" s="27"/>
      <c r="F64" s="27"/>
      <c r="G64" s="27"/>
      <c r="H64" s="27"/>
      <c r="I64" s="27"/>
      <c r="J64" s="27"/>
    </row>
    <row r="65" spans="1:10">
      <c r="A65" s="27"/>
      <c r="B65" s="27"/>
      <c r="C65" s="27"/>
      <c r="D65" s="27"/>
      <c r="E65" s="27"/>
      <c r="F65" s="27"/>
      <c r="G65" s="27"/>
      <c r="H65" s="27"/>
      <c r="I65" s="27"/>
      <c r="J65" s="27"/>
    </row>
    <row r="66" spans="1:10">
      <c r="A66" s="27"/>
      <c r="B66" s="27"/>
      <c r="C66" s="27"/>
      <c r="D66" s="27"/>
      <c r="E66" s="27"/>
      <c r="F66" s="27"/>
      <c r="G66" s="27"/>
      <c r="H66" s="27"/>
      <c r="I66" s="27"/>
      <c r="J66" s="27"/>
    </row>
    <row r="67" spans="1:10">
      <c r="A67" s="27"/>
      <c r="B67" s="27"/>
      <c r="C67" s="27"/>
      <c r="D67" s="27"/>
      <c r="E67" s="27"/>
      <c r="F67" s="27"/>
      <c r="G67" s="27"/>
      <c r="H67" s="27"/>
      <c r="I67" s="27"/>
      <c r="J67" s="27"/>
    </row>
    <row r="68" spans="1:10">
      <c r="A68" s="27"/>
      <c r="B68" s="27"/>
      <c r="C68" s="27"/>
      <c r="D68" s="27"/>
      <c r="E68" s="27"/>
      <c r="F68" s="27"/>
      <c r="G68" s="27"/>
      <c r="H68" s="27"/>
      <c r="I68" s="27"/>
      <c r="J68" s="27"/>
    </row>
    <row r="69" spans="1:10">
      <c r="A69" s="27"/>
      <c r="B69" s="27"/>
      <c r="C69" s="27"/>
      <c r="D69" s="27"/>
      <c r="E69" s="27"/>
      <c r="F69" s="27"/>
      <c r="G69" s="27"/>
      <c r="H69" s="27"/>
      <c r="I69" s="27"/>
      <c r="J69" s="27"/>
    </row>
    <row r="70" spans="1:10">
      <c r="A70" s="27"/>
      <c r="B70" s="27"/>
      <c r="C70" s="27"/>
      <c r="D70" s="27"/>
      <c r="E70" s="27"/>
      <c r="F70" s="27"/>
      <c r="G70" s="27"/>
      <c r="H70" s="27"/>
      <c r="I70" s="27"/>
      <c r="J70" s="27"/>
    </row>
    <row r="71" spans="1:10">
      <c r="A71" s="27"/>
      <c r="B71" s="27"/>
      <c r="C71" s="27"/>
      <c r="D71" s="27"/>
      <c r="E71" s="27"/>
      <c r="F71" s="27"/>
      <c r="G71" s="27"/>
      <c r="H71" s="27"/>
      <c r="I71" s="27"/>
      <c r="J71" s="27"/>
    </row>
    <row r="72" spans="1:10">
      <c r="A72" s="27"/>
      <c r="B72" s="27"/>
      <c r="C72" s="27"/>
      <c r="D72" s="27"/>
      <c r="E72" s="27"/>
      <c r="F72" s="27"/>
      <c r="G72" s="27"/>
      <c r="H72" s="27"/>
      <c r="I72" s="27"/>
      <c r="J72" s="27"/>
    </row>
    <row r="73" spans="1:10">
      <c r="A73" s="27"/>
      <c r="B73" s="27"/>
      <c r="C73" s="27"/>
      <c r="D73" s="27"/>
      <c r="E73" s="27"/>
      <c r="F73" s="27"/>
      <c r="G73" s="27"/>
      <c r="H73" s="27"/>
      <c r="I73" s="27"/>
      <c r="J73" s="27"/>
    </row>
    <row r="74" spans="1:10">
      <c r="A74" s="27"/>
      <c r="B74" s="27"/>
      <c r="C74" s="27"/>
      <c r="D74" s="27"/>
      <c r="E74" s="27"/>
      <c r="F74" s="27"/>
      <c r="G74" s="27"/>
      <c r="H74" s="27"/>
      <c r="I74" s="27"/>
      <c r="J74" s="27"/>
    </row>
    <row r="75" spans="1:10">
      <c r="A75" s="27"/>
      <c r="B75" s="27"/>
      <c r="C75" s="27"/>
      <c r="D75" s="27"/>
      <c r="E75" s="27"/>
      <c r="F75" s="27"/>
      <c r="G75" s="27"/>
      <c r="H75" s="27"/>
      <c r="I75" s="27"/>
      <c r="J75" s="27"/>
    </row>
    <row r="76" spans="1:10">
      <c r="A76" s="27"/>
      <c r="B76" s="27"/>
      <c r="C76" s="27"/>
      <c r="D76" s="27"/>
      <c r="E76" s="27"/>
      <c r="F76" s="27"/>
      <c r="G76" s="27"/>
      <c r="H76" s="27"/>
      <c r="I76" s="27"/>
      <c r="J76" s="27"/>
    </row>
    <row r="77" spans="1:10">
      <c r="A77" s="27"/>
      <c r="B77" s="27"/>
      <c r="C77" s="27"/>
      <c r="D77" s="27"/>
      <c r="E77" s="27"/>
      <c r="F77" s="27"/>
      <c r="G77" s="27"/>
      <c r="H77" s="27"/>
      <c r="I77" s="27"/>
      <c r="J77" s="27"/>
    </row>
    <row r="78" spans="1:10">
      <c r="A78" s="27"/>
      <c r="B78" s="27"/>
      <c r="C78" s="27"/>
      <c r="D78" s="27"/>
      <c r="E78" s="27"/>
      <c r="F78" s="27"/>
      <c r="G78" s="27"/>
      <c r="H78" s="27"/>
      <c r="I78" s="27"/>
      <c r="J78" s="27"/>
    </row>
    <row r="79" spans="1:10">
      <c r="A79" s="27"/>
      <c r="B79" s="27"/>
      <c r="C79" s="27"/>
      <c r="D79" s="27"/>
      <c r="E79" s="27"/>
      <c r="F79" s="27"/>
      <c r="G79" s="27"/>
      <c r="H79" s="27"/>
      <c r="I79" s="27"/>
      <c r="J79" s="27"/>
    </row>
    <row r="80" spans="1:10">
      <c r="A80" s="27"/>
      <c r="B80" s="27"/>
      <c r="C80" s="27"/>
      <c r="D80" s="27"/>
      <c r="E80" s="27"/>
      <c r="F80" s="27"/>
      <c r="G80" s="27"/>
      <c r="H80" s="27"/>
      <c r="I80" s="27"/>
      <c r="J80" s="27"/>
    </row>
    <row r="81" spans="1:10">
      <c r="A81" s="27"/>
      <c r="B81" s="27"/>
      <c r="C81" s="27"/>
      <c r="D81" s="27"/>
      <c r="E81" s="27"/>
      <c r="F81" s="27"/>
      <c r="G81" s="27"/>
      <c r="H81" s="27"/>
      <c r="I81" s="27"/>
      <c r="J81" s="27"/>
    </row>
    <row r="82" spans="1:10">
      <c r="A82" s="27"/>
      <c r="B82" s="27"/>
      <c r="C82" s="27"/>
      <c r="D82" s="27"/>
      <c r="E82" s="27"/>
      <c r="F82" s="27"/>
      <c r="G82" s="27"/>
      <c r="H82" s="27"/>
      <c r="I82" s="27"/>
      <c r="J82" s="27"/>
    </row>
    <row r="83" spans="1:10">
      <c r="A83" s="27"/>
      <c r="B83" s="27"/>
      <c r="C83" s="27"/>
      <c r="D83" s="27"/>
      <c r="E83" s="27"/>
      <c r="F83" s="27"/>
      <c r="G83" s="27"/>
      <c r="H83" s="27"/>
      <c r="I83" s="27"/>
      <c r="J83" s="27"/>
    </row>
    <row r="84" spans="1:10">
      <c r="A84" s="27"/>
      <c r="B84" s="27"/>
      <c r="C84" s="27"/>
      <c r="D84" s="27"/>
      <c r="E84" s="27"/>
      <c r="F84" s="27"/>
      <c r="G84" s="27"/>
      <c r="H84" s="27"/>
      <c r="I84" s="27"/>
      <c r="J84" s="27"/>
    </row>
    <row r="85" spans="1:10">
      <c r="A85" s="27"/>
      <c r="B85" s="27"/>
      <c r="C85" s="27"/>
      <c r="D85" s="27"/>
      <c r="E85" s="27"/>
      <c r="F85" s="27"/>
      <c r="G85" s="27"/>
      <c r="H85" s="27"/>
      <c r="I85" s="27"/>
      <c r="J85" s="27"/>
    </row>
    <row r="86" spans="1:10">
      <c r="A86" s="27"/>
      <c r="B86" s="27"/>
      <c r="C86" s="27"/>
      <c r="D86" s="27"/>
      <c r="E86" s="27"/>
      <c r="F86" s="27"/>
      <c r="G86" s="27"/>
      <c r="H86" s="27"/>
      <c r="I86" s="27"/>
      <c r="J86" s="27"/>
    </row>
    <row r="87" spans="1:10">
      <c r="A87" s="27"/>
      <c r="B87" s="27"/>
      <c r="C87" s="27"/>
      <c r="D87" s="27"/>
      <c r="E87" s="27"/>
      <c r="F87" s="27"/>
      <c r="G87" s="27"/>
      <c r="H87" s="27"/>
      <c r="I87" s="27"/>
      <c r="J87" s="27"/>
    </row>
    <row r="88" spans="1:10">
      <c r="A88" s="27"/>
      <c r="B88" s="27"/>
      <c r="C88" s="27"/>
      <c r="D88" s="27"/>
      <c r="E88" s="27"/>
      <c r="F88" s="27"/>
      <c r="G88" s="27"/>
      <c r="H88" s="27"/>
      <c r="I88" s="27"/>
      <c r="J88" s="27"/>
    </row>
    <row r="89" spans="1:10">
      <c r="A89" s="27"/>
      <c r="B89" s="27"/>
      <c r="C89" s="27"/>
      <c r="D89" s="27"/>
      <c r="E89" s="27"/>
      <c r="F89" s="27"/>
      <c r="G89" s="27"/>
      <c r="H89" s="27"/>
      <c r="I89" s="27"/>
      <c r="J89" s="27"/>
    </row>
    <row r="90" spans="1:10">
      <c r="A90" s="27"/>
      <c r="B90" s="27"/>
      <c r="C90" s="27"/>
      <c r="D90" s="27"/>
      <c r="E90" s="27"/>
      <c r="F90" s="27"/>
      <c r="G90" s="27"/>
      <c r="H90" s="27"/>
      <c r="I90" s="27"/>
      <c r="J90" s="27"/>
    </row>
    <row r="91" spans="1:10">
      <c r="A91" s="27"/>
      <c r="B91" s="27"/>
      <c r="C91" s="27"/>
      <c r="D91" s="27"/>
      <c r="E91" s="27"/>
      <c r="F91" s="27"/>
      <c r="G91" s="27"/>
      <c r="H91" s="27"/>
      <c r="I91" s="27"/>
      <c r="J91" s="27"/>
    </row>
    <row r="92" spans="1:10">
      <c r="A92" s="27"/>
      <c r="B92" s="27"/>
      <c r="C92" s="27"/>
      <c r="D92" s="27"/>
      <c r="E92" s="27"/>
      <c r="F92" s="27"/>
      <c r="G92" s="27"/>
      <c r="H92" s="27"/>
      <c r="I92" s="27"/>
      <c r="J92" s="27"/>
    </row>
    <row r="93" spans="1:10">
      <c r="A93" s="27"/>
      <c r="B93" s="27"/>
      <c r="C93" s="27"/>
      <c r="D93" s="27"/>
      <c r="E93" s="27"/>
      <c r="F93" s="27"/>
      <c r="G93" s="27"/>
      <c r="H93" s="27"/>
      <c r="I93" s="27"/>
      <c r="J93" s="27"/>
    </row>
    <row r="94" spans="1:10">
      <c r="A94" s="27"/>
      <c r="B94" s="27"/>
      <c r="C94" s="27"/>
      <c r="D94" s="27"/>
      <c r="E94" s="27"/>
      <c r="F94" s="27"/>
      <c r="G94" s="27"/>
      <c r="H94" s="27"/>
      <c r="I94" s="27"/>
      <c r="J94" s="27"/>
    </row>
    <row r="95" spans="1:10">
      <c r="A95" s="27"/>
      <c r="B95" s="27"/>
      <c r="C95" s="27"/>
      <c r="D95" s="27"/>
      <c r="E95" s="27"/>
      <c r="F95" s="27"/>
      <c r="G95" s="27"/>
      <c r="H95" s="27"/>
      <c r="I95" s="27"/>
      <c r="J95" s="27"/>
    </row>
    <row r="96" spans="1:10">
      <c r="A96" s="27"/>
      <c r="B96" s="27"/>
      <c r="C96" s="27"/>
      <c r="D96" s="27"/>
      <c r="E96" s="27"/>
      <c r="F96" s="27"/>
      <c r="G96" s="27"/>
      <c r="H96" s="27"/>
      <c r="I96" s="27"/>
      <c r="J96" s="27"/>
    </row>
    <row r="97" spans="1:10">
      <c r="A97" s="27"/>
      <c r="B97" s="27"/>
      <c r="C97" s="27"/>
      <c r="D97" s="27"/>
      <c r="E97" s="27"/>
      <c r="F97" s="27"/>
      <c r="G97" s="27"/>
      <c r="H97" s="27"/>
      <c r="I97" s="27"/>
      <c r="J97" s="27"/>
    </row>
    <row r="98" spans="1:10">
      <c r="A98" s="27"/>
      <c r="B98" s="27"/>
      <c r="C98" s="27"/>
      <c r="D98" s="27"/>
      <c r="E98" s="27"/>
      <c r="F98" s="27"/>
      <c r="G98" s="27"/>
      <c r="H98" s="27"/>
      <c r="I98" s="27"/>
      <c r="J98" s="27"/>
    </row>
    <row r="99" spans="1:10">
      <c r="A99" s="27"/>
      <c r="B99" s="27"/>
      <c r="C99" s="27"/>
      <c r="D99" s="27"/>
      <c r="E99" s="27"/>
      <c r="F99" s="27"/>
      <c r="G99" s="27"/>
      <c r="H99" s="27"/>
      <c r="I99" s="27"/>
      <c r="J99" s="27"/>
    </row>
    <row r="100" spans="1:10">
      <c r="A100" s="27"/>
      <c r="B100" s="27"/>
      <c r="C100" s="27"/>
      <c r="D100" s="27"/>
      <c r="E100" s="27"/>
      <c r="F100" s="27"/>
      <c r="G100" s="27"/>
      <c r="H100" s="27"/>
      <c r="I100" s="27"/>
      <c r="J100" s="27"/>
    </row>
    <row r="101" spans="1:10">
      <c r="A101" s="27"/>
      <c r="B101" s="27"/>
      <c r="C101" s="27"/>
      <c r="D101" s="27"/>
      <c r="E101" s="27"/>
      <c r="F101" s="27"/>
      <c r="G101" s="27"/>
      <c r="H101" s="27"/>
      <c r="I101" s="27"/>
      <c r="J101" s="27"/>
    </row>
    <row r="102" spans="1:10">
      <c r="A102" s="27"/>
      <c r="B102" s="27"/>
      <c r="C102" s="27"/>
      <c r="D102" s="27"/>
      <c r="E102" s="27"/>
      <c r="F102" s="27"/>
      <c r="G102" s="27"/>
      <c r="H102" s="27"/>
      <c r="I102" s="27"/>
      <c r="J102" s="27"/>
    </row>
    <row r="103" spans="1:10">
      <c r="A103" s="27"/>
      <c r="B103" s="27"/>
      <c r="C103" s="27"/>
      <c r="D103" s="27"/>
      <c r="E103" s="27"/>
      <c r="F103" s="27"/>
      <c r="G103" s="27"/>
      <c r="H103" s="27"/>
      <c r="I103" s="27"/>
      <c r="J103" s="27"/>
    </row>
    <row r="104" spans="1:10">
      <c r="A104" s="27"/>
      <c r="B104" s="27"/>
      <c r="C104" s="27"/>
      <c r="D104" s="27"/>
      <c r="E104" s="27"/>
      <c r="F104" s="27"/>
      <c r="G104" s="27"/>
      <c r="H104" s="27"/>
      <c r="I104" s="27"/>
      <c r="J104" s="27"/>
    </row>
    <row r="105" spans="1:10">
      <c r="A105" s="27"/>
      <c r="B105" s="27"/>
      <c r="C105" s="27"/>
      <c r="D105" s="27"/>
      <c r="E105" s="27"/>
      <c r="F105" s="27"/>
      <c r="G105" s="27"/>
      <c r="H105" s="27"/>
      <c r="I105" s="27"/>
      <c r="J105" s="27"/>
    </row>
    <row r="106" spans="1:10">
      <c r="A106" s="27"/>
      <c r="B106" s="27"/>
      <c r="C106" s="27"/>
      <c r="D106" s="27"/>
      <c r="E106" s="27"/>
      <c r="F106" s="27"/>
      <c r="G106" s="27"/>
      <c r="H106" s="27"/>
      <c r="I106" s="27"/>
      <c r="J106" s="27"/>
    </row>
    <row r="107" spans="1:10">
      <c r="A107" s="27"/>
      <c r="B107" s="27"/>
      <c r="C107" s="27"/>
      <c r="D107" s="27"/>
      <c r="E107" s="27"/>
      <c r="F107" s="27"/>
      <c r="G107" s="27"/>
      <c r="H107" s="27"/>
      <c r="I107" s="27"/>
      <c r="J107" s="27"/>
    </row>
    <row r="108" spans="1:10">
      <c r="A108" s="27"/>
      <c r="B108" s="27"/>
      <c r="C108" s="27"/>
      <c r="D108" s="27"/>
      <c r="E108" s="27"/>
      <c r="F108" s="27"/>
      <c r="G108" s="27"/>
      <c r="H108" s="27"/>
      <c r="I108" s="27"/>
      <c r="J108" s="27"/>
    </row>
    <row r="109" spans="1:10">
      <c r="A109" s="27"/>
      <c r="B109" s="27"/>
      <c r="C109" s="27"/>
      <c r="D109" s="27"/>
      <c r="E109" s="27"/>
      <c r="F109" s="27"/>
      <c r="G109" s="27"/>
      <c r="H109" s="27"/>
      <c r="I109" s="27"/>
      <c r="J109" s="27"/>
    </row>
    <row r="110" spans="1:10">
      <c r="A110" s="27"/>
      <c r="B110" s="27"/>
      <c r="C110" s="27"/>
      <c r="D110" s="27"/>
      <c r="E110" s="27"/>
      <c r="F110" s="27"/>
      <c r="G110" s="27"/>
      <c r="H110" s="27"/>
      <c r="I110" s="27"/>
      <c r="J110" s="27"/>
    </row>
    <row r="111" spans="1:10">
      <c r="A111" s="27"/>
      <c r="B111" s="27"/>
      <c r="C111" s="27"/>
      <c r="D111" s="27"/>
      <c r="E111" s="27"/>
      <c r="F111" s="27"/>
      <c r="G111" s="27"/>
      <c r="H111" s="27"/>
      <c r="I111" s="27"/>
      <c r="J111" s="27"/>
    </row>
    <row r="112" spans="1:10">
      <c r="A112" s="27"/>
      <c r="B112" s="27"/>
      <c r="C112" s="27"/>
      <c r="D112" s="27"/>
      <c r="E112" s="27"/>
      <c r="F112" s="27"/>
      <c r="G112" s="27"/>
      <c r="H112" s="27"/>
      <c r="I112" s="27"/>
      <c r="J112" s="27"/>
    </row>
    <row r="113" spans="1:10">
      <c r="A113" s="27"/>
      <c r="B113" s="27"/>
      <c r="C113" s="27"/>
      <c r="D113" s="27"/>
      <c r="E113" s="27"/>
      <c r="F113" s="27"/>
      <c r="G113" s="27"/>
      <c r="H113" s="27"/>
      <c r="I113" s="27"/>
      <c r="J113" s="27"/>
    </row>
    <row r="114" spans="1:10">
      <c r="A114" s="27"/>
      <c r="B114" s="27"/>
      <c r="C114" s="27"/>
      <c r="D114" s="27"/>
      <c r="E114" s="27"/>
      <c r="F114" s="27"/>
      <c r="G114" s="27"/>
      <c r="H114" s="27"/>
      <c r="I114" s="27"/>
      <c r="J114" s="27"/>
    </row>
    <row r="115" spans="1:10">
      <c r="A115" s="27"/>
      <c r="B115" s="27"/>
      <c r="C115" s="27"/>
      <c r="D115" s="27"/>
      <c r="E115" s="27"/>
      <c r="F115" s="27"/>
      <c r="G115" s="27"/>
      <c r="H115" s="27"/>
      <c r="I115" s="27"/>
      <c r="J115" s="27"/>
    </row>
    <row r="116" spans="1:10">
      <c r="A116" s="27"/>
      <c r="B116" s="27"/>
      <c r="C116" s="27"/>
      <c r="D116" s="27"/>
      <c r="E116" s="27"/>
      <c r="F116" s="27"/>
      <c r="G116" s="27"/>
      <c r="H116" s="27"/>
      <c r="I116" s="27"/>
      <c r="J116" s="27"/>
    </row>
    <row r="117" spans="1:10">
      <c r="A117" s="27"/>
      <c r="B117" s="27"/>
      <c r="C117" s="27"/>
      <c r="D117" s="27"/>
      <c r="E117" s="27"/>
      <c r="F117" s="27"/>
      <c r="G117" s="27"/>
      <c r="H117" s="27"/>
      <c r="I117" s="27"/>
      <c r="J117" s="27"/>
    </row>
    <row r="118" spans="1:10">
      <c r="A118" s="27"/>
      <c r="B118" s="27"/>
      <c r="C118" s="27"/>
      <c r="D118" s="27"/>
      <c r="E118" s="27"/>
      <c r="F118" s="27"/>
      <c r="G118" s="27"/>
      <c r="H118" s="27"/>
      <c r="I118" s="27"/>
      <c r="J118" s="27"/>
    </row>
    <row r="119" spans="1:10">
      <c r="A119" s="27"/>
      <c r="B119" s="27"/>
      <c r="C119" s="27"/>
      <c r="D119" s="27"/>
      <c r="E119" s="27"/>
      <c r="F119" s="27"/>
      <c r="G119" s="27"/>
      <c r="H119" s="27"/>
      <c r="I119" s="27"/>
      <c r="J119" s="27"/>
    </row>
    <row r="120" spans="1:10">
      <c r="A120" s="27"/>
      <c r="B120" s="27"/>
      <c r="C120" s="27"/>
      <c r="D120" s="27"/>
      <c r="E120" s="27"/>
      <c r="F120" s="27"/>
      <c r="G120" s="27"/>
      <c r="H120" s="27"/>
      <c r="I120" s="27"/>
      <c r="J120" s="27"/>
    </row>
    <row r="121" spans="1:10">
      <c r="A121" s="27"/>
      <c r="B121" s="27"/>
      <c r="C121" s="27"/>
      <c r="D121" s="27"/>
      <c r="E121" s="27"/>
      <c r="F121" s="27"/>
      <c r="G121" s="27"/>
      <c r="H121" s="27"/>
      <c r="I121" s="27"/>
      <c r="J121" s="27"/>
    </row>
    <row r="122" spans="1:10">
      <c r="A122" s="27"/>
      <c r="B122" s="27"/>
      <c r="C122" s="27"/>
      <c r="D122" s="27"/>
      <c r="E122" s="27"/>
      <c r="F122" s="27"/>
      <c r="G122" s="27"/>
      <c r="H122" s="27"/>
      <c r="I122" s="27"/>
      <c r="J122" s="27"/>
    </row>
    <row r="123" spans="1:10">
      <c r="A123" s="27"/>
      <c r="B123" s="27"/>
      <c r="C123" s="27"/>
      <c r="D123" s="27"/>
      <c r="E123" s="27"/>
      <c r="F123" s="27"/>
      <c r="G123" s="27"/>
      <c r="H123" s="27"/>
      <c r="I123" s="27"/>
      <c r="J123" s="27"/>
    </row>
    <row r="124" spans="1:10">
      <c r="A124" s="27"/>
      <c r="B124" s="27"/>
      <c r="C124" s="27"/>
      <c r="D124" s="27"/>
      <c r="E124" s="27"/>
      <c r="F124" s="27"/>
      <c r="G124" s="27"/>
      <c r="H124" s="27"/>
      <c r="I124" s="27"/>
      <c r="J124" s="27"/>
    </row>
    <row r="125" spans="1:10">
      <c r="A125" s="27"/>
      <c r="B125" s="27"/>
      <c r="C125" s="27"/>
      <c r="D125" s="27"/>
      <c r="E125" s="27"/>
      <c r="F125" s="27"/>
      <c r="G125" s="27"/>
      <c r="H125" s="27"/>
      <c r="I125" s="27"/>
      <c r="J125" s="27"/>
    </row>
    <row r="126" spans="1:10">
      <c r="A126" s="27"/>
      <c r="B126" s="27"/>
      <c r="C126" s="27"/>
      <c r="D126" s="27"/>
      <c r="E126" s="27"/>
      <c r="F126" s="27"/>
      <c r="G126" s="27"/>
      <c r="H126" s="27"/>
      <c r="I126" s="27"/>
      <c r="J126" s="27"/>
    </row>
    <row r="127" spans="1:10">
      <c r="A127" s="27"/>
      <c r="B127" s="27"/>
      <c r="C127" s="27"/>
      <c r="D127" s="27"/>
      <c r="E127" s="27"/>
      <c r="F127" s="27"/>
      <c r="G127" s="27"/>
      <c r="H127" s="27"/>
      <c r="I127" s="27"/>
      <c r="J127" s="27"/>
    </row>
    <row r="128" spans="1:10">
      <c r="A128" s="27"/>
      <c r="B128" s="27"/>
      <c r="C128" s="27"/>
      <c r="D128" s="27"/>
      <c r="E128" s="27"/>
      <c r="F128" s="27"/>
      <c r="G128" s="27"/>
      <c r="H128" s="27"/>
      <c r="I128" s="27"/>
      <c r="J128" s="27"/>
    </row>
    <row r="129" spans="1:10">
      <c r="A129" s="27"/>
      <c r="B129" s="27"/>
      <c r="C129" s="27"/>
      <c r="D129" s="27"/>
      <c r="E129" s="27"/>
      <c r="F129" s="27"/>
      <c r="G129" s="27"/>
      <c r="H129" s="27"/>
      <c r="I129" s="27"/>
      <c r="J129" s="27"/>
    </row>
    <row r="130" spans="1:10">
      <c r="A130" s="27"/>
      <c r="B130" s="27"/>
      <c r="C130" s="27"/>
      <c r="D130" s="27"/>
      <c r="E130" s="27"/>
      <c r="F130" s="27"/>
      <c r="G130" s="27"/>
      <c r="H130" s="27"/>
      <c r="I130" s="27"/>
      <c r="J130" s="27"/>
    </row>
    <row r="131" spans="1:10">
      <c r="A131" s="27"/>
      <c r="B131" s="27"/>
      <c r="C131" s="27"/>
      <c r="D131" s="27"/>
      <c r="E131" s="27"/>
      <c r="F131" s="27"/>
      <c r="G131" s="27"/>
      <c r="H131" s="27"/>
      <c r="I131" s="27"/>
      <c r="J131" s="27"/>
    </row>
    <row r="132" spans="1:10">
      <c r="A132" s="27"/>
      <c r="B132" s="27"/>
      <c r="C132" s="27"/>
      <c r="D132" s="27"/>
      <c r="E132" s="27"/>
      <c r="F132" s="27"/>
      <c r="G132" s="27"/>
      <c r="H132" s="27"/>
      <c r="I132" s="27"/>
      <c r="J132" s="27"/>
    </row>
    <row r="133" spans="1:10">
      <c r="A133" s="27"/>
      <c r="B133" s="27"/>
      <c r="C133" s="27"/>
      <c r="D133" s="27"/>
      <c r="E133" s="27"/>
      <c r="F133" s="27"/>
      <c r="G133" s="27"/>
      <c r="H133" s="27"/>
      <c r="I133" s="27"/>
      <c r="J133" s="27"/>
    </row>
    <row r="134" spans="1:10">
      <c r="A134" s="27"/>
      <c r="B134" s="27"/>
      <c r="C134" s="27"/>
      <c r="D134" s="27"/>
      <c r="E134" s="27"/>
      <c r="F134" s="27"/>
      <c r="G134" s="27"/>
      <c r="H134" s="27"/>
      <c r="I134" s="27"/>
      <c r="J134" s="27"/>
    </row>
    <row r="135" spans="1:10">
      <c r="A135" s="27"/>
      <c r="B135" s="27"/>
      <c r="C135" s="27"/>
      <c r="D135" s="27"/>
      <c r="E135" s="27"/>
      <c r="F135" s="27"/>
      <c r="G135" s="27"/>
      <c r="H135" s="27"/>
      <c r="I135" s="27"/>
      <c r="J135" s="27"/>
    </row>
    <row r="136" spans="1:10">
      <c r="A136" s="27"/>
      <c r="B136" s="27"/>
      <c r="C136" s="27"/>
      <c r="D136" s="27"/>
      <c r="E136" s="27"/>
      <c r="F136" s="27"/>
      <c r="G136" s="27"/>
      <c r="H136" s="27"/>
      <c r="I136" s="27"/>
      <c r="J136" s="27"/>
    </row>
    <row r="137" spans="1:10">
      <c r="A137" s="27"/>
      <c r="B137" s="27"/>
      <c r="C137" s="27"/>
      <c r="D137" s="27"/>
      <c r="E137" s="27"/>
      <c r="F137" s="27"/>
      <c r="G137" s="27"/>
      <c r="H137" s="27"/>
      <c r="I137" s="27"/>
      <c r="J137" s="27"/>
    </row>
    <row r="138" spans="1:10">
      <c r="A138" s="27"/>
      <c r="B138" s="27"/>
      <c r="C138" s="27"/>
      <c r="D138" s="27"/>
      <c r="E138" s="27"/>
      <c r="F138" s="27"/>
      <c r="G138" s="27"/>
      <c r="H138" s="27"/>
      <c r="I138" s="27"/>
      <c r="J138" s="27"/>
    </row>
    <row r="139" spans="1:10">
      <c r="A139" s="27"/>
      <c r="B139" s="27"/>
      <c r="C139" s="27"/>
      <c r="D139" s="27"/>
      <c r="E139" s="27"/>
      <c r="F139" s="27"/>
      <c r="G139" s="27"/>
      <c r="H139" s="27"/>
      <c r="I139" s="27"/>
      <c r="J139" s="27"/>
    </row>
    <row r="140" spans="1:10">
      <c r="A140" s="27"/>
      <c r="B140" s="27"/>
      <c r="C140" s="27"/>
      <c r="D140" s="27"/>
      <c r="E140" s="27"/>
      <c r="F140" s="27"/>
      <c r="G140" s="27"/>
      <c r="H140" s="27"/>
      <c r="I140" s="27"/>
      <c r="J140" s="27"/>
    </row>
    <row r="141" spans="1:10">
      <c r="A141" s="27"/>
      <c r="B141" s="27"/>
      <c r="C141" s="27"/>
      <c r="D141" s="27"/>
      <c r="E141" s="27"/>
      <c r="F141" s="27"/>
      <c r="G141" s="27"/>
      <c r="H141" s="27"/>
      <c r="I141" s="27"/>
      <c r="J141" s="27"/>
    </row>
    <row r="142" spans="1:10">
      <c r="A142" s="27"/>
      <c r="B142" s="27"/>
      <c r="C142" s="27"/>
      <c r="D142" s="27"/>
      <c r="E142" s="27"/>
      <c r="F142" s="27"/>
      <c r="G142" s="27"/>
      <c r="H142" s="27"/>
      <c r="I142" s="27"/>
      <c r="J142" s="27"/>
    </row>
    <row r="143" spans="1:10">
      <c r="A143" s="27"/>
      <c r="B143" s="27"/>
      <c r="C143" s="27"/>
      <c r="D143" s="27"/>
      <c r="E143" s="27"/>
      <c r="F143" s="27"/>
      <c r="G143" s="27"/>
      <c r="H143" s="27"/>
      <c r="I143" s="27"/>
      <c r="J143" s="27"/>
    </row>
    <row r="144" spans="1:10">
      <c r="A144" s="27"/>
      <c r="B144" s="27"/>
      <c r="C144" s="27"/>
      <c r="D144" s="27"/>
      <c r="E144" s="27"/>
      <c r="F144" s="27"/>
      <c r="G144" s="27"/>
      <c r="H144" s="27"/>
      <c r="I144" s="27"/>
      <c r="J144" s="27"/>
    </row>
    <row r="145" spans="1:10">
      <c r="A145" s="27"/>
      <c r="B145" s="27"/>
      <c r="C145" s="27"/>
      <c r="D145" s="27"/>
      <c r="E145" s="27"/>
      <c r="F145" s="27"/>
      <c r="G145" s="27"/>
      <c r="H145" s="27"/>
      <c r="I145" s="27"/>
      <c r="J145" s="27"/>
    </row>
    <row r="146" spans="1:10">
      <c r="A146" s="27"/>
      <c r="B146" s="27"/>
      <c r="C146" s="27"/>
      <c r="D146" s="27"/>
      <c r="E146" s="27"/>
      <c r="F146" s="27"/>
      <c r="G146" s="27"/>
      <c r="H146" s="27"/>
      <c r="I146" s="27"/>
      <c r="J146" s="27"/>
    </row>
    <row r="147" spans="1:10">
      <c r="A147" s="27"/>
      <c r="B147" s="27"/>
      <c r="C147" s="27"/>
      <c r="D147" s="27"/>
      <c r="E147" s="27"/>
      <c r="F147" s="27"/>
      <c r="G147" s="27"/>
      <c r="H147" s="27"/>
      <c r="I147" s="27"/>
      <c r="J147" s="27"/>
    </row>
    <row r="148" spans="1:10">
      <c r="A148" s="27"/>
      <c r="B148" s="27"/>
      <c r="C148" s="27"/>
      <c r="D148" s="27"/>
      <c r="E148" s="27"/>
      <c r="F148" s="27"/>
      <c r="G148" s="27"/>
      <c r="H148" s="27"/>
      <c r="I148" s="27"/>
      <c r="J148" s="27"/>
    </row>
    <row r="149" spans="1:10">
      <c r="A149" s="27"/>
      <c r="B149" s="27"/>
      <c r="C149" s="27"/>
      <c r="D149" s="27"/>
      <c r="E149" s="27"/>
      <c r="F149" s="27"/>
      <c r="G149" s="27"/>
      <c r="H149" s="27"/>
      <c r="I149" s="27"/>
      <c r="J149" s="27"/>
    </row>
    <row r="150" spans="1:10">
      <c r="A150" s="27"/>
      <c r="B150" s="27"/>
      <c r="C150" s="27"/>
      <c r="D150" s="27"/>
      <c r="E150" s="27"/>
      <c r="F150" s="27"/>
      <c r="G150" s="27"/>
      <c r="H150" s="27"/>
      <c r="I150" s="27"/>
      <c r="J150" s="27"/>
    </row>
    <row r="151" spans="1:10">
      <c r="A151" s="27"/>
      <c r="B151" s="27"/>
      <c r="C151" s="27"/>
      <c r="D151" s="27"/>
      <c r="E151" s="27"/>
      <c r="F151" s="27"/>
      <c r="G151" s="27"/>
      <c r="H151" s="27"/>
      <c r="I151" s="27"/>
      <c r="J151" s="27"/>
    </row>
    <row r="152" spans="1:10">
      <c r="A152" s="27"/>
      <c r="B152" s="27"/>
      <c r="C152" s="27"/>
      <c r="D152" s="27"/>
      <c r="E152" s="27"/>
      <c r="F152" s="27"/>
      <c r="G152" s="27"/>
      <c r="H152" s="27"/>
      <c r="I152" s="27"/>
      <c r="J152" s="27"/>
    </row>
    <row r="153" spans="1:10">
      <c r="A153" s="27"/>
      <c r="B153" s="27"/>
      <c r="C153" s="27"/>
      <c r="D153" s="27"/>
      <c r="E153" s="27"/>
      <c r="F153" s="27"/>
      <c r="G153" s="27"/>
      <c r="H153" s="27"/>
      <c r="I153" s="27"/>
      <c r="J153" s="27"/>
    </row>
    <row r="154" spans="1:10">
      <c r="A154" s="27"/>
      <c r="B154" s="27"/>
      <c r="C154" s="27"/>
      <c r="D154" s="27"/>
      <c r="E154" s="27"/>
      <c r="F154" s="27"/>
      <c r="G154" s="27"/>
      <c r="H154" s="27"/>
      <c r="I154" s="27"/>
      <c r="J154" s="27"/>
    </row>
    <row r="155" spans="1:10">
      <c r="A155" s="27"/>
      <c r="B155" s="27"/>
      <c r="C155" s="27"/>
      <c r="D155" s="27"/>
      <c r="E155" s="27"/>
      <c r="F155" s="27"/>
      <c r="G155" s="27"/>
      <c r="H155" s="27"/>
      <c r="I155" s="27"/>
      <c r="J155" s="27"/>
    </row>
    <row r="156" spans="1:10">
      <c r="A156" s="27"/>
      <c r="B156" s="27"/>
      <c r="C156" s="27"/>
      <c r="D156" s="27"/>
      <c r="E156" s="27"/>
      <c r="F156" s="27"/>
      <c r="G156" s="27"/>
      <c r="H156" s="27"/>
      <c r="I156" s="27"/>
      <c r="J156" s="27"/>
    </row>
    <row r="157" spans="1:10">
      <c r="A157" s="27"/>
      <c r="B157" s="27"/>
      <c r="C157" s="27"/>
      <c r="D157" s="27"/>
      <c r="E157" s="27"/>
      <c r="F157" s="27"/>
      <c r="G157" s="27"/>
      <c r="H157" s="27"/>
      <c r="I157" s="27"/>
      <c r="J157" s="27"/>
    </row>
    <row r="158" spans="1:10">
      <c r="A158" s="27"/>
      <c r="B158" s="27"/>
      <c r="C158" s="27"/>
      <c r="D158" s="27"/>
      <c r="E158" s="27"/>
      <c r="F158" s="27"/>
      <c r="G158" s="27"/>
      <c r="H158" s="27"/>
      <c r="I158" s="27"/>
      <c r="J158" s="27"/>
    </row>
    <row r="159" spans="1:10">
      <c r="A159" s="27"/>
      <c r="B159" s="27"/>
      <c r="C159" s="27"/>
      <c r="D159" s="27"/>
      <c r="E159" s="27"/>
      <c r="F159" s="27"/>
      <c r="G159" s="27"/>
      <c r="H159" s="27"/>
      <c r="I159" s="27"/>
      <c r="J159" s="27"/>
    </row>
    <row r="160" spans="1:10">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row r="217" spans="1:10">
      <c r="A217" s="27"/>
      <c r="B217" s="27"/>
      <c r="C217" s="27"/>
      <c r="D217" s="27"/>
      <c r="E217" s="27"/>
      <c r="F217" s="27"/>
      <c r="G217" s="27"/>
      <c r="H217" s="27"/>
      <c r="I217" s="27"/>
      <c r="J217" s="27"/>
    </row>
    <row r="218" spans="1:10">
      <c r="A218" s="27"/>
      <c r="B218" s="27"/>
      <c r="C218" s="27"/>
      <c r="D218" s="27"/>
      <c r="E218" s="27"/>
      <c r="F218" s="27"/>
      <c r="G218" s="27"/>
      <c r="H218" s="27"/>
      <c r="I218" s="27"/>
      <c r="J218" s="27"/>
    </row>
    <row r="219" spans="1:10">
      <c r="A219" s="27"/>
      <c r="B219" s="27"/>
      <c r="C219" s="27"/>
      <c r="D219" s="27"/>
      <c r="E219" s="27"/>
      <c r="F219" s="27"/>
      <c r="G219" s="27"/>
      <c r="H219" s="27"/>
      <c r="I219" s="27"/>
      <c r="J219" s="27"/>
    </row>
    <row r="220" spans="1:10">
      <c r="A220" s="27"/>
      <c r="B220" s="27"/>
      <c r="C220" s="27"/>
      <c r="D220" s="27"/>
      <c r="E220" s="27"/>
      <c r="F220" s="27"/>
      <c r="G220" s="27"/>
      <c r="H220" s="27"/>
      <c r="I220" s="27"/>
      <c r="J220" s="27"/>
    </row>
  </sheetData>
  <mergeCells count="40">
    <mergeCell ref="F2:F4"/>
    <mergeCell ref="F5:F7"/>
    <mergeCell ref="F8:F9"/>
    <mergeCell ref="F10:F11"/>
    <mergeCell ref="F12:F17"/>
    <mergeCell ref="I23:I27"/>
    <mergeCell ref="A18:A22"/>
    <mergeCell ref="B18:B22"/>
    <mergeCell ref="C18:C22"/>
    <mergeCell ref="D18:D22"/>
    <mergeCell ref="E18:E22"/>
    <mergeCell ref="A23:A27"/>
    <mergeCell ref="B23:B27"/>
    <mergeCell ref="C23:C27"/>
    <mergeCell ref="D23:D27"/>
    <mergeCell ref="E23:E27"/>
    <mergeCell ref="F18:F22"/>
    <mergeCell ref="F23:F27"/>
    <mergeCell ref="I10:I11"/>
    <mergeCell ref="A12:A17"/>
    <mergeCell ref="B12:B17"/>
    <mergeCell ref="C12:C17"/>
    <mergeCell ref="D12:D17"/>
    <mergeCell ref="E12:E17"/>
    <mergeCell ref="A8:A9"/>
    <mergeCell ref="B8:B9"/>
    <mergeCell ref="C8:C9"/>
    <mergeCell ref="D8:D9"/>
    <mergeCell ref="A10:A11"/>
    <mergeCell ref="B10:B11"/>
    <mergeCell ref="C10:C11"/>
    <mergeCell ref="D10:D11"/>
    <mergeCell ref="A2:A4"/>
    <mergeCell ref="B2:B4"/>
    <mergeCell ref="C2:C4"/>
    <mergeCell ref="D2:D4"/>
    <mergeCell ref="A5:A7"/>
    <mergeCell ref="B5:B7"/>
    <mergeCell ref="C5:C7"/>
    <mergeCell ref="D5:D7"/>
  </mergeCells>
  <phoneticPr fontId="1" type="noConversion"/>
  <conditionalFormatting sqref="A1:E27 G1:K27">
    <cfRule type="containsText" dxfId="21" priority="5" operator="containsText" text="TBD">
      <formula>NOT(ISERROR(SEARCH("TBD",A1)))</formula>
    </cfRule>
  </conditionalFormatting>
  <conditionalFormatting sqref="F2 F8:F27">
    <cfRule type="containsText" dxfId="20" priority="4" operator="containsText" text="TBD">
      <formula>NOT(ISERROR(SEARCH("TBD",F2)))</formula>
    </cfRule>
  </conditionalFormatting>
  <conditionalFormatting sqref="F1">
    <cfRule type="containsText" dxfId="19" priority="3" operator="containsText" text="TBD">
      <formula>NOT(ISERROR(SEARCH("TBD",F1)))</formula>
    </cfRule>
  </conditionalFormatting>
  <conditionalFormatting sqref="F5">
    <cfRule type="containsText" dxfId="18" priority="1" operator="containsText" text="TBD">
      <formula>NOT(ISERROR(SEARCH("TBD",F5)))</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3033-94B9-4E32-B302-AADFB186759D}">
  <dimension ref="A1:K220"/>
  <sheetViews>
    <sheetView zoomScale="49" zoomScaleNormal="40" workbookViewId="0">
      <selection activeCell="D111" sqref="D111"/>
    </sheetView>
  </sheetViews>
  <sheetFormatPr defaultColWidth="52.9140625" defaultRowHeight="17"/>
  <cols>
    <col min="1" max="1" width="15.9140625" customWidth="1"/>
    <col min="2" max="2" width="27.58203125" bestFit="1" customWidth="1"/>
    <col min="3" max="3" width="52.6640625" bestFit="1" customWidth="1"/>
    <col min="4" max="4" width="77.9140625" customWidth="1"/>
    <col min="5" max="5" width="50.33203125" customWidth="1"/>
    <col min="6" max="6" width="22.33203125" bestFit="1" customWidth="1"/>
    <col min="7" max="7" width="110.25" customWidth="1"/>
    <col min="8" max="8" width="185.83203125" customWidth="1"/>
    <col min="9" max="9" width="52.5" bestFit="1" customWidth="1"/>
    <col min="10" max="10" width="33.6640625" customWidth="1"/>
    <col min="11" max="11" width="85.4140625" customWidth="1"/>
  </cols>
  <sheetData>
    <row r="1" spans="1:11" ht="17.5" thickBot="1">
      <c r="A1" s="4" t="s">
        <v>418</v>
      </c>
      <c r="B1" s="5" t="s">
        <v>11</v>
      </c>
      <c r="C1" s="5" t="s">
        <v>12</v>
      </c>
      <c r="D1" s="5" t="s">
        <v>13</v>
      </c>
      <c r="E1" s="22" t="s">
        <v>408</v>
      </c>
      <c r="F1" s="22" t="s">
        <v>422</v>
      </c>
      <c r="G1" s="22" t="s">
        <v>417</v>
      </c>
      <c r="H1" s="22" t="s">
        <v>407</v>
      </c>
      <c r="I1" s="5" t="s">
        <v>14</v>
      </c>
      <c r="J1" s="5" t="s">
        <v>15</v>
      </c>
      <c r="K1" s="5" t="s">
        <v>16</v>
      </c>
    </row>
    <row r="2" spans="1:11" ht="68.5" thickBot="1">
      <c r="A2" s="47" t="s">
        <v>438</v>
      </c>
      <c r="B2" s="47" t="s">
        <v>18</v>
      </c>
      <c r="C2" s="44" t="s">
        <v>357</v>
      </c>
      <c r="D2" s="44" t="s">
        <v>19</v>
      </c>
      <c r="E2" s="44" t="s">
        <v>485</v>
      </c>
      <c r="F2" s="47" t="s">
        <v>473</v>
      </c>
      <c r="G2" s="3" t="s">
        <v>20</v>
      </c>
      <c r="H2" s="3" t="s">
        <v>359</v>
      </c>
      <c r="I2" s="44" t="s">
        <v>21</v>
      </c>
      <c r="J2" s="44" t="s">
        <v>22</v>
      </c>
      <c r="K2" s="6" t="s">
        <v>439</v>
      </c>
    </row>
    <row r="3" spans="1:11" ht="17.5" thickBot="1">
      <c r="A3" s="48"/>
      <c r="B3" s="48"/>
      <c r="C3" s="45"/>
      <c r="D3" s="45"/>
      <c r="E3" s="45"/>
      <c r="F3" s="48"/>
      <c r="G3" s="3" t="s">
        <v>358</v>
      </c>
      <c r="H3" s="3" t="s">
        <v>24</v>
      </c>
      <c r="I3" s="45"/>
      <c r="J3" s="45"/>
      <c r="K3" s="7"/>
    </row>
    <row r="4" spans="1:11" ht="85.5" thickBot="1">
      <c r="A4" s="49"/>
      <c r="B4" s="49"/>
      <c r="C4" s="46"/>
      <c r="D4" s="46"/>
      <c r="E4" s="46"/>
      <c r="F4" s="49"/>
      <c r="G4" s="3" t="s">
        <v>25</v>
      </c>
      <c r="H4" s="3" t="s">
        <v>26</v>
      </c>
      <c r="I4" s="46"/>
      <c r="J4" s="46"/>
      <c r="K4" s="7"/>
    </row>
    <row r="5" spans="1:11" ht="136.5" thickBot="1">
      <c r="A5" s="2" t="s">
        <v>27</v>
      </c>
      <c r="B5" s="8" t="s">
        <v>28</v>
      </c>
      <c r="C5" s="3" t="s">
        <v>29</v>
      </c>
      <c r="D5" s="3" t="s">
        <v>30</v>
      </c>
      <c r="E5" s="3" t="s">
        <v>486</v>
      </c>
      <c r="F5" s="2" t="s">
        <v>474</v>
      </c>
      <c r="G5" s="3" t="s">
        <v>31</v>
      </c>
      <c r="H5" s="3" t="s">
        <v>32</v>
      </c>
      <c r="I5" s="3" t="s">
        <v>33</v>
      </c>
      <c r="J5" s="3" t="s">
        <v>34</v>
      </c>
      <c r="K5" s="7"/>
    </row>
    <row r="6" spans="1:11" ht="153.5" thickBot="1">
      <c r="A6" s="47" t="s">
        <v>35</v>
      </c>
      <c r="B6" s="47" t="s">
        <v>36</v>
      </c>
      <c r="C6" s="44" t="s">
        <v>37</v>
      </c>
      <c r="D6" s="44" t="s">
        <v>38</v>
      </c>
      <c r="E6" s="44" t="s">
        <v>486</v>
      </c>
      <c r="F6" s="47" t="s">
        <v>475</v>
      </c>
      <c r="G6" s="3" t="s">
        <v>39</v>
      </c>
      <c r="H6" s="3" t="s">
        <v>40</v>
      </c>
      <c r="I6" s="44" t="s">
        <v>41</v>
      </c>
      <c r="J6" s="44" t="s">
        <v>34</v>
      </c>
      <c r="K6" s="7"/>
    </row>
    <row r="7" spans="1:11" ht="34.5" thickBot="1">
      <c r="A7" s="48"/>
      <c r="B7" s="48"/>
      <c r="C7" s="45"/>
      <c r="D7" s="45"/>
      <c r="E7" s="45"/>
      <c r="F7" s="48"/>
      <c r="G7" s="3" t="s">
        <v>42</v>
      </c>
      <c r="H7" s="3" t="s">
        <v>43</v>
      </c>
      <c r="I7" s="45"/>
      <c r="J7" s="45"/>
      <c r="K7" s="7"/>
    </row>
    <row r="8" spans="1:11" ht="17.5" thickBot="1">
      <c r="A8" s="48"/>
      <c r="B8" s="48"/>
      <c r="C8" s="45"/>
      <c r="D8" s="45"/>
      <c r="E8" s="45"/>
      <c r="F8" s="48"/>
      <c r="G8" s="3" t="s">
        <v>44</v>
      </c>
      <c r="H8" s="3" t="s">
        <v>45</v>
      </c>
      <c r="I8" s="45"/>
      <c r="J8" s="45"/>
      <c r="K8" s="7"/>
    </row>
    <row r="9" spans="1:11" ht="34.5" thickBot="1">
      <c r="A9" s="48"/>
      <c r="B9" s="48"/>
      <c r="C9" s="45"/>
      <c r="D9" s="45"/>
      <c r="E9" s="45"/>
      <c r="F9" s="48"/>
      <c r="G9" s="3" t="s">
        <v>46</v>
      </c>
      <c r="H9" s="3" t="s">
        <v>47</v>
      </c>
      <c r="I9" s="45"/>
      <c r="J9" s="45"/>
      <c r="K9" s="7"/>
    </row>
    <row r="10" spans="1:11" ht="34.5" thickBot="1">
      <c r="A10" s="49"/>
      <c r="B10" s="49"/>
      <c r="C10" s="46"/>
      <c r="D10" s="46"/>
      <c r="E10" s="46"/>
      <c r="F10" s="49"/>
      <c r="G10" s="3" t="s">
        <v>48</v>
      </c>
      <c r="H10" s="3" t="s">
        <v>49</v>
      </c>
      <c r="I10" s="46"/>
      <c r="J10" s="46"/>
      <c r="K10" s="7"/>
    </row>
    <row r="11" spans="1:11" ht="153.5" thickBot="1">
      <c r="A11" s="47" t="s">
        <v>50</v>
      </c>
      <c r="B11" s="47" t="s">
        <v>51</v>
      </c>
      <c r="C11" s="44" t="s">
        <v>52</v>
      </c>
      <c r="D11" s="44" t="s">
        <v>38</v>
      </c>
      <c r="E11" s="44" t="s">
        <v>486</v>
      </c>
      <c r="F11" s="47" t="s">
        <v>476</v>
      </c>
      <c r="G11" s="3" t="s">
        <v>53</v>
      </c>
      <c r="H11" s="3" t="s">
        <v>40</v>
      </c>
      <c r="I11" s="44" t="s">
        <v>41</v>
      </c>
      <c r="J11" s="44" t="s">
        <v>34</v>
      </c>
      <c r="K11" s="7"/>
    </row>
    <row r="12" spans="1:11" ht="34.5" thickBot="1">
      <c r="A12" s="48"/>
      <c r="B12" s="48"/>
      <c r="C12" s="45"/>
      <c r="D12" s="45"/>
      <c r="E12" s="45"/>
      <c r="F12" s="48"/>
      <c r="G12" s="3" t="s">
        <v>54</v>
      </c>
      <c r="H12" s="3" t="s">
        <v>55</v>
      </c>
      <c r="I12" s="45"/>
      <c r="J12" s="45"/>
      <c r="K12" s="7"/>
    </row>
    <row r="13" spans="1:11" ht="119.5" thickBot="1">
      <c r="A13" s="48"/>
      <c r="B13" s="48"/>
      <c r="C13" s="45"/>
      <c r="D13" s="45"/>
      <c r="E13" s="45"/>
      <c r="F13" s="48"/>
      <c r="G13" s="3" t="s">
        <v>46</v>
      </c>
      <c r="H13" s="3" t="s">
        <v>435</v>
      </c>
      <c r="I13" s="45"/>
      <c r="J13" s="45"/>
      <c r="K13" s="7"/>
    </row>
    <row r="14" spans="1:11" ht="34.5" thickBot="1">
      <c r="A14" s="49"/>
      <c r="B14" s="49"/>
      <c r="C14" s="46"/>
      <c r="D14" s="46"/>
      <c r="E14" s="46"/>
      <c r="F14" s="49"/>
      <c r="G14" s="3" t="s">
        <v>48</v>
      </c>
      <c r="H14" s="3" t="s">
        <v>49</v>
      </c>
      <c r="I14" s="46"/>
      <c r="J14" s="46"/>
      <c r="K14" s="7"/>
    </row>
    <row r="15" spans="1:11" ht="68.5" thickBot="1">
      <c r="A15" s="47" t="s">
        <v>56</v>
      </c>
      <c r="B15" s="47" t="s">
        <v>57</v>
      </c>
      <c r="C15" s="44" t="s">
        <v>58</v>
      </c>
      <c r="D15" s="44" t="s">
        <v>59</v>
      </c>
      <c r="E15" s="44" t="s">
        <v>486</v>
      </c>
      <c r="F15" s="47" t="s">
        <v>477</v>
      </c>
      <c r="G15" s="3" t="s">
        <v>60</v>
      </c>
      <c r="H15" s="3" t="s">
        <v>61</v>
      </c>
      <c r="I15" s="44" t="s">
        <v>62</v>
      </c>
      <c r="J15" s="44" t="s">
        <v>63</v>
      </c>
      <c r="K15" s="7"/>
    </row>
    <row r="16" spans="1:11" ht="255.5" thickBot="1">
      <c r="A16" s="49"/>
      <c r="B16" s="49"/>
      <c r="C16" s="46"/>
      <c r="D16" s="46"/>
      <c r="E16" s="46"/>
      <c r="F16" s="49"/>
      <c r="G16" s="3" t="s">
        <v>64</v>
      </c>
      <c r="H16" s="3" t="s">
        <v>419</v>
      </c>
      <c r="I16" s="46"/>
      <c r="J16" s="46"/>
      <c r="K16" s="7"/>
    </row>
    <row r="17" spans="1:11" ht="68.5" thickBot="1">
      <c r="A17" s="47" t="s">
        <v>66</v>
      </c>
      <c r="B17" s="47" t="s">
        <v>67</v>
      </c>
      <c r="C17" s="44" t="s">
        <v>68</v>
      </c>
      <c r="D17" s="44" t="s">
        <v>59</v>
      </c>
      <c r="E17" s="44" t="s">
        <v>486</v>
      </c>
      <c r="F17" s="47" t="s">
        <v>478</v>
      </c>
      <c r="G17" s="3" t="s">
        <v>69</v>
      </c>
      <c r="H17" s="3" t="s">
        <v>70</v>
      </c>
      <c r="I17" s="44" t="s">
        <v>62</v>
      </c>
      <c r="J17" s="44" t="s">
        <v>63</v>
      </c>
      <c r="K17" s="7"/>
    </row>
    <row r="18" spans="1:11" ht="221.5" thickBot="1">
      <c r="A18" s="49"/>
      <c r="B18" s="49"/>
      <c r="C18" s="46"/>
      <c r="D18" s="46"/>
      <c r="E18" s="46"/>
      <c r="F18" s="49"/>
      <c r="G18" s="3" t="s">
        <v>71</v>
      </c>
      <c r="H18" s="3" t="s">
        <v>420</v>
      </c>
      <c r="I18" s="46"/>
      <c r="J18" s="46"/>
      <c r="K18" s="7"/>
    </row>
    <row r="19" spans="1:11" ht="68.5" thickBot="1">
      <c r="A19" s="47" t="s">
        <v>72</v>
      </c>
      <c r="B19" s="47" t="s">
        <v>73</v>
      </c>
      <c r="C19" s="44" t="s">
        <v>74</v>
      </c>
      <c r="D19" s="44" t="s">
        <v>59</v>
      </c>
      <c r="E19" s="44" t="s">
        <v>486</v>
      </c>
      <c r="F19" s="47" t="s">
        <v>479</v>
      </c>
      <c r="G19" s="3" t="s">
        <v>75</v>
      </c>
      <c r="H19" s="3" t="s">
        <v>76</v>
      </c>
      <c r="I19" s="44" t="s">
        <v>77</v>
      </c>
      <c r="J19" s="44" t="s">
        <v>63</v>
      </c>
      <c r="K19" s="7"/>
    </row>
    <row r="20" spans="1:11" ht="221.5" thickBot="1">
      <c r="A20" s="49"/>
      <c r="B20" s="49"/>
      <c r="C20" s="46"/>
      <c r="D20" s="46"/>
      <c r="E20" s="46"/>
      <c r="F20" s="49"/>
      <c r="G20" s="3" t="s">
        <v>71</v>
      </c>
      <c r="H20" s="3" t="s">
        <v>420</v>
      </c>
      <c r="I20" s="46"/>
      <c r="J20" s="46"/>
      <c r="K20" s="7"/>
    </row>
    <row r="21" spans="1:11" ht="68.5" thickBot="1">
      <c r="A21" s="47" t="s">
        <v>78</v>
      </c>
      <c r="B21" s="47" t="s">
        <v>79</v>
      </c>
      <c r="C21" s="44" t="s">
        <v>80</v>
      </c>
      <c r="D21" s="44" t="s">
        <v>59</v>
      </c>
      <c r="E21" s="44" t="s">
        <v>486</v>
      </c>
      <c r="F21" s="47" t="s">
        <v>480</v>
      </c>
      <c r="G21" s="3" t="s">
        <v>81</v>
      </c>
      <c r="H21" s="3" t="s">
        <v>82</v>
      </c>
      <c r="I21" s="44" t="s">
        <v>83</v>
      </c>
      <c r="J21" s="44" t="s">
        <v>63</v>
      </c>
      <c r="K21" s="7"/>
    </row>
    <row r="22" spans="1:11" ht="221.5" thickBot="1">
      <c r="A22" s="49"/>
      <c r="B22" s="49"/>
      <c r="C22" s="46"/>
      <c r="D22" s="46"/>
      <c r="E22" s="46"/>
      <c r="F22" s="49"/>
      <c r="G22" s="3" t="s">
        <v>84</v>
      </c>
      <c r="H22" s="3" t="s">
        <v>420</v>
      </c>
      <c r="I22" s="46"/>
      <c r="J22" s="46"/>
      <c r="K22" s="7"/>
    </row>
    <row r="23" spans="1:11" ht="68.5" thickBot="1">
      <c r="A23" s="47" t="s">
        <v>85</v>
      </c>
      <c r="B23" s="47" t="s">
        <v>86</v>
      </c>
      <c r="C23" s="44" t="s">
        <v>87</v>
      </c>
      <c r="D23" s="44" t="s">
        <v>59</v>
      </c>
      <c r="E23" s="44" t="s">
        <v>486</v>
      </c>
      <c r="F23" s="47" t="s">
        <v>481</v>
      </c>
      <c r="G23" s="3" t="s">
        <v>88</v>
      </c>
      <c r="H23" s="3" t="s">
        <v>82</v>
      </c>
      <c r="I23" s="44" t="s">
        <v>83</v>
      </c>
      <c r="J23" s="44" t="s">
        <v>63</v>
      </c>
      <c r="K23" s="7"/>
    </row>
    <row r="24" spans="1:11" ht="34.5" thickBot="1">
      <c r="A24" s="48"/>
      <c r="B24" s="48"/>
      <c r="C24" s="45"/>
      <c r="D24" s="45"/>
      <c r="E24" s="45"/>
      <c r="F24" s="48"/>
      <c r="G24" s="3" t="s">
        <v>89</v>
      </c>
      <c r="H24" s="3" t="s">
        <v>90</v>
      </c>
      <c r="I24" s="45"/>
      <c r="J24" s="45"/>
      <c r="K24" s="7"/>
    </row>
    <row r="25" spans="1:11" ht="34.5" thickBot="1">
      <c r="A25" s="48"/>
      <c r="B25" s="48"/>
      <c r="C25" s="45"/>
      <c r="D25" s="45"/>
      <c r="E25" s="45"/>
      <c r="F25" s="48"/>
      <c r="G25" s="3" t="s">
        <v>91</v>
      </c>
      <c r="H25" s="3" t="s">
        <v>92</v>
      </c>
      <c r="I25" s="45"/>
      <c r="J25" s="45"/>
      <c r="K25" s="7"/>
    </row>
    <row r="26" spans="1:11" ht="153.5" thickBot="1">
      <c r="A26" s="49"/>
      <c r="B26" s="49"/>
      <c r="C26" s="46"/>
      <c r="D26" s="46"/>
      <c r="E26" s="46"/>
      <c r="F26" s="49"/>
      <c r="G26" s="3" t="s">
        <v>93</v>
      </c>
      <c r="H26" s="3" t="s">
        <v>65</v>
      </c>
      <c r="I26" s="46"/>
      <c r="J26" s="46"/>
      <c r="K26" s="7"/>
    </row>
    <row r="27" spans="1:11" ht="136.5" customHeight="1" thickBot="1">
      <c r="A27" s="47" t="s">
        <v>94</v>
      </c>
      <c r="B27" s="47" t="s">
        <v>95</v>
      </c>
      <c r="C27" s="50" t="s">
        <v>96</v>
      </c>
      <c r="D27" s="50" t="s">
        <v>97</v>
      </c>
      <c r="E27" s="44" t="s">
        <v>486</v>
      </c>
      <c r="F27" s="47" t="s">
        <v>482</v>
      </c>
      <c r="G27" s="3" t="s">
        <v>98</v>
      </c>
      <c r="H27" s="3" t="s">
        <v>99</v>
      </c>
      <c r="I27" s="44" t="s">
        <v>100</v>
      </c>
      <c r="J27" s="44" t="s">
        <v>101</v>
      </c>
      <c r="K27" s="3" t="s">
        <v>102</v>
      </c>
    </row>
    <row r="28" spans="1:11" ht="170.5" customHeight="1" thickBot="1">
      <c r="A28" s="48"/>
      <c r="B28" s="48"/>
      <c r="C28" s="51"/>
      <c r="D28" s="51"/>
      <c r="E28" s="45"/>
      <c r="F28" s="48"/>
      <c r="G28" s="3" t="s">
        <v>103</v>
      </c>
      <c r="H28" s="3" t="s">
        <v>104</v>
      </c>
      <c r="I28" s="45"/>
      <c r="J28" s="45"/>
      <c r="K28" s="7"/>
    </row>
    <row r="29" spans="1:11" ht="85.5" customHeight="1" thickBot="1">
      <c r="A29" s="48"/>
      <c r="B29" s="48"/>
      <c r="C29" s="51"/>
      <c r="D29" s="51"/>
      <c r="E29" s="45"/>
      <c r="F29" s="48"/>
      <c r="G29" s="3" t="s">
        <v>105</v>
      </c>
      <c r="H29" s="3" t="s">
        <v>106</v>
      </c>
      <c r="I29" s="45"/>
      <c r="J29" s="45"/>
      <c r="K29" s="7"/>
    </row>
    <row r="30" spans="1:11" ht="68.5" customHeight="1" thickBot="1">
      <c r="A30" s="48"/>
      <c r="B30" s="48"/>
      <c r="C30" s="51"/>
      <c r="D30" s="51"/>
      <c r="E30" s="45"/>
      <c r="F30" s="48"/>
      <c r="G30" s="3" t="s">
        <v>107</v>
      </c>
      <c r="H30" s="3" t="s">
        <v>108</v>
      </c>
      <c r="I30" s="45"/>
      <c r="J30" s="45"/>
      <c r="K30" s="7"/>
    </row>
    <row r="31" spans="1:11" ht="51.5" customHeight="1" thickBot="1">
      <c r="A31" s="48"/>
      <c r="B31" s="48"/>
      <c r="C31" s="51"/>
      <c r="D31" s="51"/>
      <c r="E31" s="45"/>
      <c r="F31" s="48"/>
      <c r="G31" s="3" t="s">
        <v>109</v>
      </c>
      <c r="H31" s="3" t="s">
        <v>110</v>
      </c>
      <c r="I31" s="45"/>
      <c r="J31" s="45"/>
      <c r="K31" s="7"/>
    </row>
    <row r="32" spans="1:11" ht="119.5" customHeight="1" thickBot="1">
      <c r="A32" s="48"/>
      <c r="B32" s="48"/>
      <c r="C32" s="51"/>
      <c r="D32" s="51"/>
      <c r="E32" s="45"/>
      <c r="F32" s="48"/>
      <c r="G32" s="3" t="s">
        <v>111</v>
      </c>
      <c r="H32" s="3" t="s">
        <v>112</v>
      </c>
      <c r="I32" s="45"/>
      <c r="J32" s="45"/>
      <c r="K32" s="7"/>
    </row>
    <row r="33" spans="1:11" ht="153.5" customHeight="1" thickBot="1">
      <c r="A33" s="48"/>
      <c r="B33" s="48"/>
      <c r="C33" s="51"/>
      <c r="D33" s="51"/>
      <c r="E33" s="45"/>
      <c r="F33" s="48"/>
      <c r="G33" s="3" t="s">
        <v>113</v>
      </c>
      <c r="H33" s="3" t="s">
        <v>114</v>
      </c>
      <c r="I33" s="45"/>
      <c r="J33" s="45"/>
      <c r="K33" s="7"/>
    </row>
    <row r="34" spans="1:11" ht="68.5" customHeight="1" thickBot="1">
      <c r="A34" s="48"/>
      <c r="B34" s="48"/>
      <c r="C34" s="51"/>
      <c r="D34" s="51"/>
      <c r="E34" s="46"/>
      <c r="F34" s="48"/>
      <c r="G34" s="3" t="s">
        <v>48</v>
      </c>
      <c r="H34" s="3" t="s">
        <v>115</v>
      </c>
      <c r="I34" s="46"/>
      <c r="J34" s="46"/>
      <c r="K34" s="7"/>
    </row>
    <row r="35" spans="1:11" ht="136.5" customHeight="1" thickBot="1">
      <c r="A35" s="48"/>
      <c r="B35" s="48"/>
      <c r="C35" s="51"/>
      <c r="D35" s="53"/>
      <c r="E35" s="44" t="s">
        <v>486</v>
      </c>
      <c r="F35" s="48"/>
      <c r="G35" s="3" t="s">
        <v>98</v>
      </c>
      <c r="H35" s="3" t="s">
        <v>99</v>
      </c>
      <c r="I35" s="44" t="s">
        <v>100</v>
      </c>
      <c r="J35" s="44" t="s">
        <v>101</v>
      </c>
      <c r="K35" s="3" t="s">
        <v>102</v>
      </c>
    </row>
    <row r="36" spans="1:11" ht="170.5" customHeight="1" thickBot="1">
      <c r="A36" s="48"/>
      <c r="B36" s="48"/>
      <c r="C36" s="51"/>
      <c r="D36" s="53"/>
      <c r="E36" s="45"/>
      <c r="F36" s="48"/>
      <c r="G36" s="3" t="s">
        <v>103</v>
      </c>
      <c r="H36" s="3" t="s">
        <v>104</v>
      </c>
      <c r="I36" s="45"/>
      <c r="J36" s="45"/>
      <c r="K36" s="7"/>
    </row>
    <row r="37" spans="1:11" ht="85.5" customHeight="1" thickBot="1">
      <c r="A37" s="48"/>
      <c r="B37" s="48"/>
      <c r="C37" s="51"/>
      <c r="D37" s="53"/>
      <c r="E37" s="45"/>
      <c r="F37" s="48"/>
      <c r="G37" s="3" t="s">
        <v>105</v>
      </c>
      <c r="H37" s="3" t="s">
        <v>106</v>
      </c>
      <c r="I37" s="45"/>
      <c r="J37" s="45"/>
      <c r="K37" s="7"/>
    </row>
    <row r="38" spans="1:11" ht="68.5" customHeight="1" thickBot="1">
      <c r="A38" s="48"/>
      <c r="B38" s="48"/>
      <c r="C38" s="51"/>
      <c r="D38" s="53"/>
      <c r="E38" s="45"/>
      <c r="F38" s="48"/>
      <c r="G38" s="3" t="s">
        <v>107</v>
      </c>
      <c r="H38" s="3" t="s">
        <v>108</v>
      </c>
      <c r="I38" s="45"/>
      <c r="J38" s="45"/>
      <c r="K38" s="7"/>
    </row>
    <row r="39" spans="1:11" ht="51.5" customHeight="1" thickBot="1">
      <c r="A39" s="48"/>
      <c r="B39" s="48"/>
      <c r="C39" s="51"/>
      <c r="D39" s="53"/>
      <c r="E39" s="45"/>
      <c r="F39" s="48"/>
      <c r="G39" s="3" t="s">
        <v>109</v>
      </c>
      <c r="H39" s="3" t="s">
        <v>110</v>
      </c>
      <c r="I39" s="45"/>
      <c r="J39" s="45"/>
      <c r="K39" s="7"/>
    </row>
    <row r="40" spans="1:11" ht="119.5" customHeight="1" thickBot="1">
      <c r="A40" s="48"/>
      <c r="B40" s="48"/>
      <c r="C40" s="51"/>
      <c r="D40" s="53"/>
      <c r="E40" s="45"/>
      <c r="F40" s="48"/>
      <c r="G40" s="3" t="s">
        <v>111</v>
      </c>
      <c r="H40" s="3" t="s">
        <v>112</v>
      </c>
      <c r="I40" s="45"/>
      <c r="J40" s="45"/>
      <c r="K40" s="7"/>
    </row>
    <row r="41" spans="1:11" ht="153.5" customHeight="1" thickBot="1">
      <c r="A41" s="48"/>
      <c r="B41" s="48"/>
      <c r="C41" s="51"/>
      <c r="D41" s="53"/>
      <c r="E41" s="45"/>
      <c r="F41" s="48"/>
      <c r="G41" s="3" t="s">
        <v>113</v>
      </c>
      <c r="H41" s="3" t="s">
        <v>114</v>
      </c>
      <c r="I41" s="45"/>
      <c r="J41" s="45"/>
      <c r="K41" s="7"/>
    </row>
    <row r="42" spans="1:11" ht="68.5" customHeight="1" thickBot="1">
      <c r="A42" s="49"/>
      <c r="B42" s="49"/>
      <c r="C42" s="52"/>
      <c r="D42" s="54"/>
      <c r="E42" s="46"/>
      <c r="F42" s="49"/>
      <c r="G42" s="3" t="s">
        <v>48</v>
      </c>
      <c r="H42" s="3" t="s">
        <v>115</v>
      </c>
      <c r="I42" s="46"/>
      <c r="J42" s="46"/>
      <c r="K42" s="7"/>
    </row>
    <row r="43" spans="1:11" ht="136.5" thickBot="1">
      <c r="A43" s="47" t="s">
        <v>116</v>
      </c>
      <c r="B43" s="47" t="s">
        <v>117</v>
      </c>
      <c r="C43" s="44" t="s">
        <v>118</v>
      </c>
      <c r="D43" s="44" t="s">
        <v>38</v>
      </c>
      <c r="E43" s="44" t="s">
        <v>486</v>
      </c>
      <c r="F43" s="47" t="s">
        <v>483</v>
      </c>
      <c r="G43" s="3" t="s">
        <v>119</v>
      </c>
      <c r="H43" s="3" t="s">
        <v>120</v>
      </c>
      <c r="I43" s="44" t="s">
        <v>100</v>
      </c>
      <c r="J43" s="44" t="s">
        <v>22</v>
      </c>
      <c r="K43" s="7"/>
    </row>
    <row r="44" spans="1:11" ht="51.5" thickBot="1">
      <c r="A44" s="48"/>
      <c r="B44" s="48"/>
      <c r="C44" s="45"/>
      <c r="D44" s="45"/>
      <c r="E44" s="45"/>
      <c r="F44" s="48"/>
      <c r="G44" s="3" t="s">
        <v>105</v>
      </c>
      <c r="H44" s="3" t="s">
        <v>106</v>
      </c>
      <c r="I44" s="45"/>
      <c r="J44" s="45"/>
      <c r="K44" s="9"/>
    </row>
    <row r="45" spans="1:11" ht="85.5" thickBot="1">
      <c r="A45" s="48"/>
      <c r="B45" s="48"/>
      <c r="C45" s="45"/>
      <c r="D45" s="45"/>
      <c r="E45" s="45"/>
      <c r="F45" s="48"/>
      <c r="G45" s="3" t="s">
        <v>121</v>
      </c>
      <c r="H45" s="3" t="s">
        <v>122</v>
      </c>
      <c r="I45" s="45"/>
      <c r="J45" s="45"/>
      <c r="K45" s="9"/>
    </row>
    <row r="46" spans="1:11" ht="17.5" thickBot="1">
      <c r="A46" s="48"/>
      <c r="B46" s="48"/>
      <c r="C46" s="45"/>
      <c r="D46" s="45"/>
      <c r="E46" s="45"/>
      <c r="F46" s="48"/>
      <c r="G46" s="3" t="s">
        <v>123</v>
      </c>
      <c r="H46" s="9"/>
      <c r="I46" s="45"/>
      <c r="J46" s="45"/>
      <c r="K46" s="9"/>
    </row>
    <row r="47" spans="1:11" ht="34.5" thickBot="1">
      <c r="A47" s="48"/>
      <c r="B47" s="48"/>
      <c r="C47" s="45"/>
      <c r="D47" s="45"/>
      <c r="E47" s="45"/>
      <c r="F47" s="48"/>
      <c r="G47" s="3" t="s">
        <v>107</v>
      </c>
      <c r="H47" s="3" t="s">
        <v>108</v>
      </c>
      <c r="I47" s="45"/>
      <c r="J47" s="45"/>
      <c r="K47" s="9"/>
    </row>
    <row r="48" spans="1:11" ht="17.5" thickBot="1">
      <c r="A48" s="48"/>
      <c r="B48" s="48"/>
      <c r="C48" s="45"/>
      <c r="D48" s="45"/>
      <c r="E48" s="45"/>
      <c r="F48" s="48"/>
      <c r="G48" s="3" t="s">
        <v>109</v>
      </c>
      <c r="H48" s="3" t="s">
        <v>110</v>
      </c>
      <c r="I48" s="45"/>
      <c r="J48" s="45"/>
      <c r="K48" s="9"/>
    </row>
    <row r="49" spans="1:11" ht="68.5" thickBot="1">
      <c r="A49" s="48"/>
      <c r="B49" s="48"/>
      <c r="C49" s="45"/>
      <c r="D49" s="45"/>
      <c r="E49" s="45"/>
      <c r="F49" s="48"/>
      <c r="G49" s="3" t="s">
        <v>111</v>
      </c>
      <c r="H49" s="3" t="s">
        <v>124</v>
      </c>
      <c r="I49" s="45"/>
      <c r="J49" s="45"/>
      <c r="K49" s="9"/>
    </row>
    <row r="50" spans="1:11" ht="17.5" thickBot="1">
      <c r="A50" s="49"/>
      <c r="B50" s="49"/>
      <c r="C50" s="46"/>
      <c r="D50" s="46"/>
      <c r="E50" s="46"/>
      <c r="F50" s="49"/>
      <c r="G50" s="3" t="s">
        <v>48</v>
      </c>
      <c r="H50" s="3" t="s">
        <v>115</v>
      </c>
      <c r="I50" s="46"/>
      <c r="J50" s="46"/>
      <c r="K50" s="9"/>
    </row>
    <row r="51" spans="1:11" ht="17.5" thickBot="1">
      <c r="A51" s="24" t="s">
        <v>418</v>
      </c>
      <c r="B51" s="1" t="s">
        <v>11</v>
      </c>
      <c r="C51" s="1" t="s">
        <v>12</v>
      </c>
      <c r="D51" s="1" t="s">
        <v>13</v>
      </c>
      <c r="E51" s="22" t="s">
        <v>408</v>
      </c>
      <c r="F51" s="22" t="s">
        <v>422</v>
      </c>
      <c r="G51" s="22" t="s">
        <v>417</v>
      </c>
      <c r="H51" s="22" t="s">
        <v>407</v>
      </c>
      <c r="I51" s="1" t="s">
        <v>14</v>
      </c>
      <c r="J51" s="1" t="s">
        <v>15</v>
      </c>
      <c r="K51" s="1" t="s">
        <v>16</v>
      </c>
    </row>
    <row r="52" spans="1:11" ht="68.5" thickBot="1">
      <c r="A52" s="47" t="s">
        <v>125</v>
      </c>
      <c r="B52" s="47" t="s">
        <v>18</v>
      </c>
      <c r="C52" s="44" t="s">
        <v>126</v>
      </c>
      <c r="D52" s="44" t="s">
        <v>19</v>
      </c>
      <c r="E52" s="44" t="s">
        <v>392</v>
      </c>
      <c r="F52" s="47" t="s">
        <v>434</v>
      </c>
      <c r="G52" s="3" t="s">
        <v>127</v>
      </c>
      <c r="H52" s="3" t="s">
        <v>359</v>
      </c>
      <c r="I52" s="44" t="s">
        <v>21</v>
      </c>
      <c r="J52" s="8" t="s">
        <v>128</v>
      </c>
      <c r="K52" s="9"/>
    </row>
    <row r="53" spans="1:11" ht="85.5" thickBot="1">
      <c r="A53" s="49"/>
      <c r="B53" s="49"/>
      <c r="C53" s="46"/>
      <c r="D53" s="46"/>
      <c r="E53" s="46"/>
      <c r="F53" s="49"/>
      <c r="G53" s="3" t="s">
        <v>25</v>
      </c>
      <c r="H53" s="3" t="s">
        <v>26</v>
      </c>
      <c r="I53" s="46"/>
      <c r="J53" s="8" t="s">
        <v>128</v>
      </c>
      <c r="K53" s="9"/>
    </row>
    <row r="54" spans="1:11" ht="136.5" thickBot="1">
      <c r="A54" s="2" t="s">
        <v>129</v>
      </c>
      <c r="B54" s="8" t="s">
        <v>28</v>
      </c>
      <c r="C54" s="3" t="s">
        <v>130</v>
      </c>
      <c r="D54" s="3" t="s">
        <v>30</v>
      </c>
      <c r="E54" s="3" t="s">
        <v>393</v>
      </c>
      <c r="F54" s="2" t="s">
        <v>441</v>
      </c>
      <c r="G54" s="3" t="s">
        <v>131</v>
      </c>
      <c r="H54" s="3" t="s">
        <v>132</v>
      </c>
      <c r="I54" s="3" t="s">
        <v>33</v>
      </c>
      <c r="J54" s="8" t="s">
        <v>128</v>
      </c>
      <c r="K54" s="9"/>
    </row>
    <row r="55" spans="1:11" ht="102.5" thickBot="1">
      <c r="A55" s="47" t="s">
        <v>133</v>
      </c>
      <c r="B55" s="47" t="s">
        <v>134</v>
      </c>
      <c r="C55" s="44" t="s">
        <v>135</v>
      </c>
      <c r="D55" s="44" t="s">
        <v>38</v>
      </c>
      <c r="E55" s="44" t="s">
        <v>393</v>
      </c>
      <c r="F55" s="47" t="s">
        <v>442</v>
      </c>
      <c r="G55" s="3" t="s">
        <v>136</v>
      </c>
      <c r="H55" s="3" t="s">
        <v>137</v>
      </c>
      <c r="I55" s="44" t="s">
        <v>138</v>
      </c>
      <c r="J55" s="8" t="s">
        <v>128</v>
      </c>
      <c r="K55" s="9"/>
    </row>
    <row r="56" spans="1:11" ht="51.5" thickBot="1">
      <c r="A56" s="48"/>
      <c r="B56" s="48"/>
      <c r="C56" s="45"/>
      <c r="D56" s="45"/>
      <c r="E56" s="45"/>
      <c r="F56" s="48"/>
      <c r="G56" s="3" t="s">
        <v>139</v>
      </c>
      <c r="H56" s="3" t="s">
        <v>140</v>
      </c>
      <c r="I56" s="45"/>
      <c r="J56" s="7"/>
      <c r="K56" s="9"/>
    </row>
    <row r="57" spans="1:11" ht="17.5" thickBot="1">
      <c r="A57" s="49"/>
      <c r="B57" s="49"/>
      <c r="C57" s="46"/>
      <c r="D57" s="46"/>
      <c r="E57" s="46"/>
      <c r="F57" s="49"/>
      <c r="G57" s="3" t="s">
        <v>48</v>
      </c>
      <c r="H57" s="3" t="s">
        <v>141</v>
      </c>
      <c r="I57" s="46"/>
      <c r="J57" s="8" t="s">
        <v>128</v>
      </c>
      <c r="K57" s="9"/>
    </row>
    <row r="58" spans="1:11" ht="238.5" thickBot="1">
      <c r="A58" s="2" t="s">
        <v>142</v>
      </c>
      <c r="B58" s="8" t="s">
        <v>143</v>
      </c>
      <c r="C58" s="3" t="s">
        <v>144</v>
      </c>
      <c r="D58" s="3" t="s">
        <v>38</v>
      </c>
      <c r="E58" s="3" t="s">
        <v>393</v>
      </c>
      <c r="F58" s="2" t="s">
        <v>443</v>
      </c>
      <c r="G58" s="3" t="s">
        <v>145</v>
      </c>
      <c r="H58" s="3" t="s">
        <v>137</v>
      </c>
      <c r="I58" s="3" t="s">
        <v>138</v>
      </c>
      <c r="J58" s="8" t="s">
        <v>128</v>
      </c>
      <c r="K58" s="9"/>
    </row>
    <row r="59" spans="1:11" ht="85.5" thickBot="1">
      <c r="A59" s="47" t="s">
        <v>146</v>
      </c>
      <c r="B59" s="47" t="s">
        <v>95</v>
      </c>
      <c r="C59" s="44" t="s">
        <v>147</v>
      </c>
      <c r="D59" s="44" t="s">
        <v>97</v>
      </c>
      <c r="E59" s="44" t="s">
        <v>393</v>
      </c>
      <c r="F59" s="47" t="s">
        <v>444</v>
      </c>
      <c r="G59" s="3" t="s">
        <v>148</v>
      </c>
      <c r="H59" s="3" t="s">
        <v>149</v>
      </c>
      <c r="I59" s="44" t="s">
        <v>100</v>
      </c>
      <c r="J59" s="8" t="s">
        <v>128</v>
      </c>
      <c r="K59" s="9"/>
    </row>
    <row r="60" spans="1:11" ht="68.5" thickBot="1">
      <c r="A60" s="48"/>
      <c r="B60" s="48"/>
      <c r="C60" s="45"/>
      <c r="D60" s="45"/>
      <c r="E60" s="45"/>
      <c r="F60" s="48"/>
      <c r="G60" s="3" t="s">
        <v>150</v>
      </c>
      <c r="H60" s="3" t="s">
        <v>151</v>
      </c>
      <c r="I60" s="45"/>
      <c r="J60" s="8" t="s">
        <v>128</v>
      </c>
      <c r="K60" s="9"/>
    </row>
    <row r="61" spans="1:11" ht="17.5" thickBot="1">
      <c r="A61" s="48"/>
      <c r="B61" s="48"/>
      <c r="C61" s="45"/>
      <c r="D61" s="45"/>
      <c r="E61" s="45"/>
      <c r="F61" s="48"/>
      <c r="G61" s="3" t="s">
        <v>152</v>
      </c>
      <c r="H61" s="3" t="s">
        <v>108</v>
      </c>
      <c r="I61" s="45"/>
      <c r="J61" s="8" t="s">
        <v>128</v>
      </c>
      <c r="K61" s="9"/>
    </row>
    <row r="62" spans="1:11" ht="51.5" thickBot="1">
      <c r="A62" s="48"/>
      <c r="B62" s="48"/>
      <c r="C62" s="45"/>
      <c r="D62" s="45"/>
      <c r="E62" s="45"/>
      <c r="F62" s="48"/>
      <c r="G62" s="3" t="s">
        <v>153</v>
      </c>
      <c r="H62" s="3" t="s">
        <v>106</v>
      </c>
      <c r="I62" s="45"/>
      <c r="J62" s="8" t="s">
        <v>128</v>
      </c>
      <c r="K62" s="9"/>
    </row>
    <row r="63" spans="1:11" ht="17.5" thickBot="1">
      <c r="A63" s="48"/>
      <c r="B63" s="48"/>
      <c r="C63" s="45"/>
      <c r="D63" s="45"/>
      <c r="E63" s="45"/>
      <c r="F63" s="48"/>
      <c r="G63" s="3" t="s">
        <v>154</v>
      </c>
      <c r="H63" s="3" t="s">
        <v>155</v>
      </c>
      <c r="I63" s="45"/>
      <c r="J63" s="8" t="s">
        <v>128</v>
      </c>
      <c r="K63" s="9"/>
    </row>
    <row r="64" spans="1:11" ht="85.5" thickBot="1">
      <c r="A64" s="48"/>
      <c r="B64" s="48"/>
      <c r="C64" s="45"/>
      <c r="D64" s="45"/>
      <c r="E64" s="45"/>
      <c r="F64" s="48"/>
      <c r="G64" s="3" t="s">
        <v>156</v>
      </c>
      <c r="H64" s="3" t="s">
        <v>157</v>
      </c>
      <c r="I64" s="45"/>
      <c r="J64" s="8" t="s">
        <v>128</v>
      </c>
      <c r="K64" s="9"/>
    </row>
    <row r="65" spans="1:11" ht="17.5" thickBot="1">
      <c r="A65" s="49"/>
      <c r="B65" s="49"/>
      <c r="C65" s="46"/>
      <c r="D65" s="46"/>
      <c r="E65" s="46"/>
      <c r="F65" s="49"/>
      <c r="G65" s="3" t="s">
        <v>48</v>
      </c>
      <c r="H65" s="3" t="s">
        <v>141</v>
      </c>
      <c r="I65" s="46"/>
      <c r="J65" s="8" t="s">
        <v>128</v>
      </c>
      <c r="K65" s="9"/>
    </row>
    <row r="66" spans="1:11" ht="17.5" thickBot="1">
      <c r="A66" s="47" t="s">
        <v>158</v>
      </c>
      <c r="B66" s="47" t="s">
        <v>117</v>
      </c>
      <c r="C66" s="44" t="s">
        <v>118</v>
      </c>
      <c r="D66" s="44" t="s">
        <v>38</v>
      </c>
      <c r="E66" s="44" t="s">
        <v>393</v>
      </c>
      <c r="F66" s="47" t="s">
        <v>445</v>
      </c>
      <c r="G66" s="3" t="s">
        <v>159</v>
      </c>
      <c r="H66" s="3" t="s">
        <v>160</v>
      </c>
      <c r="I66" s="44" t="s">
        <v>100</v>
      </c>
      <c r="J66" s="8" t="s">
        <v>128</v>
      </c>
      <c r="K66" s="9"/>
    </row>
    <row r="67" spans="1:11" ht="85.5" thickBot="1">
      <c r="A67" s="48"/>
      <c r="B67" s="48"/>
      <c r="C67" s="45"/>
      <c r="D67" s="45"/>
      <c r="E67" s="45"/>
      <c r="F67" s="48"/>
      <c r="G67" s="3" t="s">
        <v>161</v>
      </c>
      <c r="H67" s="3" t="s">
        <v>149</v>
      </c>
      <c r="I67" s="45"/>
      <c r="J67" s="8" t="s">
        <v>128</v>
      </c>
      <c r="K67" s="9"/>
    </row>
    <row r="68" spans="1:11" ht="102.5" thickBot="1">
      <c r="A68" s="48"/>
      <c r="B68" s="48"/>
      <c r="C68" s="45"/>
      <c r="D68" s="45"/>
      <c r="E68" s="45"/>
      <c r="F68" s="48"/>
      <c r="G68" s="3" t="s">
        <v>162</v>
      </c>
      <c r="H68" s="3" t="s">
        <v>157</v>
      </c>
      <c r="I68" s="45"/>
      <c r="J68" s="8" t="s">
        <v>128</v>
      </c>
      <c r="K68" s="9"/>
    </row>
    <row r="69" spans="1:11" ht="17.5" thickBot="1">
      <c r="A69" s="49"/>
      <c r="B69" s="49"/>
      <c r="C69" s="46"/>
      <c r="D69" s="46"/>
      <c r="E69" s="46"/>
      <c r="F69" s="49"/>
      <c r="G69" s="3" t="s">
        <v>48</v>
      </c>
      <c r="H69" s="3" t="s">
        <v>141</v>
      </c>
      <c r="I69" s="46"/>
      <c r="J69" s="8" t="s">
        <v>128</v>
      </c>
      <c r="K69" s="9"/>
    </row>
    <row r="70" spans="1:11" ht="17.5" thickBot="1">
      <c r="A70" s="24" t="s">
        <v>418</v>
      </c>
      <c r="B70" s="1" t="s">
        <v>11</v>
      </c>
      <c r="C70" s="1" t="s">
        <v>12</v>
      </c>
      <c r="D70" s="1" t="s">
        <v>13</v>
      </c>
      <c r="E70" s="22" t="s">
        <v>408</v>
      </c>
      <c r="F70" s="22" t="s">
        <v>422</v>
      </c>
      <c r="G70" s="22" t="s">
        <v>417</v>
      </c>
      <c r="H70" s="22" t="s">
        <v>407</v>
      </c>
      <c r="I70" s="1" t="s">
        <v>14</v>
      </c>
      <c r="J70" s="1" t="s">
        <v>15</v>
      </c>
      <c r="K70" s="1" t="s">
        <v>16</v>
      </c>
    </row>
    <row r="71" spans="1:11" ht="85.5" thickBot="1">
      <c r="A71" s="47" t="s">
        <v>163</v>
      </c>
      <c r="B71" s="47" t="s">
        <v>18</v>
      </c>
      <c r="C71" s="44" t="s">
        <v>164</v>
      </c>
      <c r="D71" s="44" t="s">
        <v>19</v>
      </c>
      <c r="E71" s="44" t="s">
        <v>390</v>
      </c>
      <c r="F71" s="47" t="s">
        <v>456</v>
      </c>
      <c r="G71" s="3" t="s">
        <v>165</v>
      </c>
      <c r="H71" s="3" t="s">
        <v>359</v>
      </c>
      <c r="I71" s="44" t="s">
        <v>21</v>
      </c>
      <c r="J71" s="8" t="s">
        <v>128</v>
      </c>
      <c r="K71" s="55"/>
    </row>
    <row r="72" spans="1:11" ht="85.5" thickBot="1">
      <c r="A72" s="49"/>
      <c r="B72" s="49"/>
      <c r="C72" s="46"/>
      <c r="D72" s="46"/>
      <c r="E72" s="46"/>
      <c r="F72" s="49"/>
      <c r="G72" s="3" t="s">
        <v>25</v>
      </c>
      <c r="H72" s="3" t="s">
        <v>26</v>
      </c>
      <c r="I72" s="46"/>
      <c r="J72" s="8" t="s">
        <v>128</v>
      </c>
      <c r="K72" s="56"/>
    </row>
    <row r="73" spans="1:11" ht="119.5" thickBot="1">
      <c r="A73" s="2" t="s">
        <v>166</v>
      </c>
      <c r="B73" s="8" t="s">
        <v>28</v>
      </c>
      <c r="C73" s="3" t="s">
        <v>167</v>
      </c>
      <c r="D73" s="3" t="s">
        <v>168</v>
      </c>
      <c r="E73" s="3" t="s">
        <v>391</v>
      </c>
      <c r="F73" s="2" t="s">
        <v>446</v>
      </c>
      <c r="G73" s="3" t="s">
        <v>169</v>
      </c>
      <c r="H73" s="3" t="s">
        <v>170</v>
      </c>
      <c r="I73" s="3" t="s">
        <v>33</v>
      </c>
      <c r="J73" s="8" t="s">
        <v>128</v>
      </c>
      <c r="K73" s="9"/>
    </row>
    <row r="74" spans="1:11" ht="136.5" thickBot="1">
      <c r="A74" s="47" t="s">
        <v>171</v>
      </c>
      <c r="B74" s="47" t="s">
        <v>36</v>
      </c>
      <c r="C74" s="44" t="s">
        <v>172</v>
      </c>
      <c r="D74" s="44" t="s">
        <v>38</v>
      </c>
      <c r="E74" s="44" t="s">
        <v>173</v>
      </c>
      <c r="F74" s="47" t="s">
        <v>447</v>
      </c>
      <c r="G74" s="3" t="s">
        <v>174</v>
      </c>
      <c r="H74" s="3" t="s">
        <v>175</v>
      </c>
      <c r="I74" s="44" t="s">
        <v>41</v>
      </c>
      <c r="J74" s="8" t="s">
        <v>128</v>
      </c>
      <c r="K74" s="9"/>
    </row>
    <row r="75" spans="1:11" ht="34.5" thickBot="1">
      <c r="A75" s="49"/>
      <c r="B75" s="49"/>
      <c r="C75" s="46"/>
      <c r="D75" s="46"/>
      <c r="E75" s="46"/>
      <c r="F75" s="49"/>
      <c r="G75" s="3" t="s">
        <v>176</v>
      </c>
      <c r="H75" s="3" t="s">
        <v>177</v>
      </c>
      <c r="I75" s="46"/>
      <c r="J75" s="8" t="s">
        <v>128</v>
      </c>
      <c r="K75" s="9"/>
    </row>
    <row r="76" spans="1:11" ht="119.5" thickBot="1">
      <c r="A76" s="47" t="s">
        <v>178</v>
      </c>
      <c r="B76" s="47" t="s">
        <v>51</v>
      </c>
      <c r="C76" s="44" t="s">
        <v>179</v>
      </c>
      <c r="D76" s="44" t="s">
        <v>38</v>
      </c>
      <c r="E76" s="44" t="s">
        <v>173</v>
      </c>
      <c r="F76" s="47" t="s">
        <v>448</v>
      </c>
      <c r="G76" s="3" t="s">
        <v>180</v>
      </c>
      <c r="H76" s="3" t="s">
        <v>175</v>
      </c>
      <c r="I76" s="44" t="s">
        <v>41</v>
      </c>
      <c r="J76" s="8" t="s">
        <v>128</v>
      </c>
      <c r="K76" s="9"/>
    </row>
    <row r="77" spans="1:11" ht="34.5" thickBot="1">
      <c r="A77" s="49"/>
      <c r="B77" s="49"/>
      <c r="C77" s="46"/>
      <c r="D77" s="46"/>
      <c r="E77" s="46"/>
      <c r="F77" s="49"/>
      <c r="G77" s="3" t="s">
        <v>176</v>
      </c>
      <c r="H77" s="3" t="s">
        <v>177</v>
      </c>
      <c r="I77" s="46"/>
      <c r="J77" s="8" t="s">
        <v>128</v>
      </c>
      <c r="K77" s="9"/>
    </row>
    <row r="78" spans="1:11" ht="102.5" thickBot="1">
      <c r="A78" s="2" t="s">
        <v>181</v>
      </c>
      <c r="B78" s="8" t="s">
        <v>57</v>
      </c>
      <c r="C78" s="3" t="s">
        <v>182</v>
      </c>
      <c r="D78" s="3" t="s">
        <v>59</v>
      </c>
      <c r="E78" s="3" t="s">
        <v>173</v>
      </c>
      <c r="F78" s="2" t="s">
        <v>449</v>
      </c>
      <c r="G78" s="3" t="s">
        <v>183</v>
      </c>
      <c r="H78" s="3" t="s">
        <v>184</v>
      </c>
      <c r="I78" s="3" t="s">
        <v>62</v>
      </c>
      <c r="J78" s="8" t="s">
        <v>128</v>
      </c>
      <c r="K78" s="9"/>
    </row>
    <row r="79" spans="1:11" ht="102.5" thickBot="1">
      <c r="A79" s="2" t="s">
        <v>185</v>
      </c>
      <c r="B79" s="8" t="s">
        <v>67</v>
      </c>
      <c r="C79" s="3" t="s">
        <v>182</v>
      </c>
      <c r="D79" s="3" t="s">
        <v>59</v>
      </c>
      <c r="E79" s="3" t="s">
        <v>173</v>
      </c>
      <c r="F79" s="2" t="s">
        <v>450</v>
      </c>
      <c r="G79" s="3" t="s">
        <v>186</v>
      </c>
      <c r="H79" s="3" t="s">
        <v>187</v>
      </c>
      <c r="I79" s="3" t="s">
        <v>62</v>
      </c>
      <c r="J79" s="8" t="s">
        <v>128</v>
      </c>
      <c r="K79" s="9"/>
    </row>
    <row r="80" spans="1:11" ht="102.5" thickBot="1">
      <c r="A80" s="2" t="s">
        <v>188</v>
      </c>
      <c r="B80" s="8" t="s">
        <v>73</v>
      </c>
      <c r="C80" s="3" t="s">
        <v>182</v>
      </c>
      <c r="D80" s="3" t="s">
        <v>59</v>
      </c>
      <c r="E80" s="3" t="s">
        <v>173</v>
      </c>
      <c r="F80" s="2" t="s">
        <v>451</v>
      </c>
      <c r="G80" s="3" t="s">
        <v>189</v>
      </c>
      <c r="H80" s="3" t="s">
        <v>190</v>
      </c>
      <c r="I80" s="3" t="s">
        <v>77</v>
      </c>
      <c r="J80" s="8" t="s">
        <v>128</v>
      </c>
      <c r="K80" s="9"/>
    </row>
    <row r="81" spans="1:11" ht="102.5" thickBot="1">
      <c r="A81" s="2" t="s">
        <v>191</v>
      </c>
      <c r="B81" s="8" t="s">
        <v>79</v>
      </c>
      <c r="C81" s="3" t="s">
        <v>182</v>
      </c>
      <c r="D81" s="3" t="s">
        <v>59</v>
      </c>
      <c r="E81" s="3" t="s">
        <v>173</v>
      </c>
      <c r="F81" s="2" t="s">
        <v>452</v>
      </c>
      <c r="G81" s="3" t="s">
        <v>192</v>
      </c>
      <c r="H81" s="3" t="s">
        <v>193</v>
      </c>
      <c r="I81" s="3" t="s">
        <v>83</v>
      </c>
      <c r="J81" s="8" t="s">
        <v>128</v>
      </c>
      <c r="K81" s="9"/>
    </row>
    <row r="82" spans="1:11" ht="68.5" thickBot="1">
      <c r="A82" s="47" t="s">
        <v>194</v>
      </c>
      <c r="B82" s="47" t="s">
        <v>195</v>
      </c>
      <c r="C82" s="44" t="s">
        <v>196</v>
      </c>
      <c r="D82" s="44" t="s">
        <v>197</v>
      </c>
      <c r="E82" s="44" t="s">
        <v>173</v>
      </c>
      <c r="F82" s="47" t="s">
        <v>453</v>
      </c>
      <c r="G82" s="3" t="s">
        <v>198</v>
      </c>
      <c r="H82" s="3" t="s">
        <v>199</v>
      </c>
      <c r="I82" s="7"/>
      <c r="J82" s="8" t="s">
        <v>128</v>
      </c>
      <c r="K82" s="9"/>
    </row>
    <row r="83" spans="1:11" ht="68.5" thickBot="1">
      <c r="A83" s="48"/>
      <c r="B83" s="48"/>
      <c r="C83" s="45"/>
      <c r="D83" s="45"/>
      <c r="E83" s="45"/>
      <c r="F83" s="48"/>
      <c r="G83" s="3" t="s">
        <v>200</v>
      </c>
      <c r="H83" s="3" t="s">
        <v>201</v>
      </c>
      <c r="I83" s="44" t="s">
        <v>202</v>
      </c>
      <c r="J83" s="8" t="s">
        <v>128</v>
      </c>
      <c r="K83" s="9"/>
    </row>
    <row r="84" spans="1:11" ht="68.5" thickBot="1">
      <c r="A84" s="49"/>
      <c r="B84" s="49"/>
      <c r="C84" s="46"/>
      <c r="D84" s="46"/>
      <c r="E84" s="46"/>
      <c r="F84" s="49"/>
      <c r="G84" s="3" t="s">
        <v>203</v>
      </c>
      <c r="H84" s="3" t="s">
        <v>199</v>
      </c>
      <c r="I84" s="46"/>
      <c r="J84" s="8" t="s">
        <v>128</v>
      </c>
      <c r="K84" s="9"/>
    </row>
    <row r="85" spans="1:11" ht="51.5" thickBot="1">
      <c r="A85" s="47" t="s">
        <v>204</v>
      </c>
      <c r="B85" s="47" t="s">
        <v>95</v>
      </c>
      <c r="C85" s="44" t="s">
        <v>205</v>
      </c>
      <c r="D85" s="44" t="s">
        <v>97</v>
      </c>
      <c r="E85" s="44" t="s">
        <v>173</v>
      </c>
      <c r="F85" s="47" t="s">
        <v>454</v>
      </c>
      <c r="G85" s="3" t="s">
        <v>150</v>
      </c>
      <c r="H85" s="3" t="s">
        <v>206</v>
      </c>
      <c r="I85" s="44" t="s">
        <v>100</v>
      </c>
      <c r="J85" s="8" t="s">
        <v>128</v>
      </c>
      <c r="K85" s="9"/>
    </row>
    <row r="86" spans="1:11" ht="68.5" thickBot="1">
      <c r="A86" s="48"/>
      <c r="B86" s="48"/>
      <c r="C86" s="45"/>
      <c r="D86" s="45"/>
      <c r="E86" s="45"/>
      <c r="F86" s="48"/>
      <c r="G86" s="3" t="s">
        <v>207</v>
      </c>
      <c r="H86" s="3" t="s">
        <v>208</v>
      </c>
      <c r="I86" s="45"/>
      <c r="J86" s="8" t="s">
        <v>128</v>
      </c>
      <c r="K86" s="9"/>
    </row>
    <row r="87" spans="1:11" ht="51.5" thickBot="1">
      <c r="A87" s="48"/>
      <c r="B87" s="48"/>
      <c r="C87" s="45"/>
      <c r="D87" s="45"/>
      <c r="E87" s="45"/>
      <c r="F87" s="48"/>
      <c r="G87" s="3" t="s">
        <v>209</v>
      </c>
      <c r="H87" s="3" t="s">
        <v>175</v>
      </c>
      <c r="I87" s="45"/>
      <c r="J87" s="8" t="s">
        <v>128</v>
      </c>
      <c r="K87" s="9"/>
    </row>
    <row r="88" spans="1:11" ht="34.5" thickBot="1">
      <c r="A88" s="49"/>
      <c r="B88" s="49"/>
      <c r="C88" s="46"/>
      <c r="D88" s="46"/>
      <c r="E88" s="46"/>
      <c r="F88" s="49"/>
      <c r="G88" s="3" t="s">
        <v>176</v>
      </c>
      <c r="H88" s="3" t="s">
        <v>177</v>
      </c>
      <c r="I88" s="46"/>
      <c r="J88" s="8" t="s">
        <v>128</v>
      </c>
      <c r="K88" s="9"/>
    </row>
    <row r="89" spans="1:11" ht="68.5" thickBot="1">
      <c r="A89" s="47" t="s">
        <v>210</v>
      </c>
      <c r="B89" s="47" t="s">
        <v>117</v>
      </c>
      <c r="C89" s="44" t="s">
        <v>118</v>
      </c>
      <c r="D89" s="44" t="s">
        <v>38</v>
      </c>
      <c r="E89" s="44" t="s">
        <v>173</v>
      </c>
      <c r="F89" s="47" t="s">
        <v>455</v>
      </c>
      <c r="G89" s="3" t="s">
        <v>153</v>
      </c>
      <c r="H89" s="3" t="s">
        <v>199</v>
      </c>
      <c r="I89" s="44" t="s">
        <v>100</v>
      </c>
      <c r="J89" s="8" t="s">
        <v>128</v>
      </c>
      <c r="K89" s="9"/>
    </row>
    <row r="90" spans="1:11" ht="85.5" thickBot="1">
      <c r="A90" s="48"/>
      <c r="B90" s="48"/>
      <c r="C90" s="45"/>
      <c r="D90" s="45"/>
      <c r="E90" s="45"/>
      <c r="F90" s="48"/>
      <c r="G90" s="3" t="s">
        <v>121</v>
      </c>
      <c r="H90" s="3" t="s">
        <v>170</v>
      </c>
      <c r="I90" s="45"/>
      <c r="J90" s="8" t="s">
        <v>128</v>
      </c>
      <c r="K90" s="9"/>
    </row>
    <row r="91" spans="1:11" ht="119.5" thickBot="1">
      <c r="A91" s="48"/>
      <c r="B91" s="48"/>
      <c r="C91" s="45"/>
      <c r="D91" s="45"/>
      <c r="E91" s="45"/>
      <c r="F91" s="48"/>
      <c r="G91" s="3" t="s">
        <v>180</v>
      </c>
      <c r="H91" s="3" t="s">
        <v>175</v>
      </c>
      <c r="I91" s="45"/>
      <c r="J91" s="8" t="s">
        <v>128</v>
      </c>
      <c r="K91" s="55"/>
    </row>
    <row r="92" spans="1:11" ht="34.5" thickBot="1">
      <c r="A92" s="49"/>
      <c r="B92" s="49"/>
      <c r="C92" s="46"/>
      <c r="D92" s="46"/>
      <c r="E92" s="46"/>
      <c r="F92" s="49"/>
      <c r="G92" s="3" t="s">
        <v>176</v>
      </c>
      <c r="H92" s="3" t="s">
        <v>177</v>
      </c>
      <c r="I92" s="46"/>
      <c r="J92" s="8" t="s">
        <v>128</v>
      </c>
      <c r="K92" s="56"/>
    </row>
    <row r="93" spans="1:11" ht="17.5" thickBot="1">
      <c r="A93" s="24" t="s">
        <v>418</v>
      </c>
      <c r="B93" s="1" t="s">
        <v>11</v>
      </c>
      <c r="C93" s="1" t="s">
        <v>12</v>
      </c>
      <c r="D93" s="1" t="s">
        <v>13</v>
      </c>
      <c r="E93" s="22" t="s">
        <v>408</v>
      </c>
      <c r="F93" s="22" t="s">
        <v>422</v>
      </c>
      <c r="G93" s="22" t="s">
        <v>417</v>
      </c>
      <c r="H93" s="22" t="s">
        <v>407</v>
      </c>
      <c r="I93" s="1" t="s">
        <v>14</v>
      </c>
      <c r="J93" s="1" t="s">
        <v>15</v>
      </c>
      <c r="K93" s="1" t="s">
        <v>16</v>
      </c>
    </row>
    <row r="94" spans="1:11" ht="51.5" thickBot="1">
      <c r="A94" s="47" t="s">
        <v>211</v>
      </c>
      <c r="B94" s="47" t="s">
        <v>18</v>
      </c>
      <c r="C94" s="44" t="s">
        <v>212</v>
      </c>
      <c r="D94" s="44" t="s">
        <v>213</v>
      </c>
      <c r="E94" s="57" t="s">
        <v>425</v>
      </c>
      <c r="F94" s="47" t="s">
        <v>432</v>
      </c>
      <c r="G94" s="10" t="s">
        <v>215</v>
      </c>
      <c r="H94" s="3" t="s">
        <v>359</v>
      </c>
      <c r="I94" s="44" t="s">
        <v>216</v>
      </c>
      <c r="J94" s="8" t="s">
        <v>128</v>
      </c>
      <c r="K94" s="11" t="s">
        <v>217</v>
      </c>
    </row>
    <row r="95" spans="1:11" ht="68.5" thickBot="1">
      <c r="A95" s="49"/>
      <c r="B95" s="49"/>
      <c r="C95" s="46"/>
      <c r="D95" s="46"/>
      <c r="E95" s="46"/>
      <c r="F95" s="49"/>
      <c r="G95" s="10" t="s">
        <v>218</v>
      </c>
      <c r="H95" s="3" t="s">
        <v>199</v>
      </c>
      <c r="I95" s="46"/>
      <c r="J95" s="8" t="s">
        <v>128</v>
      </c>
      <c r="K95" s="9"/>
    </row>
    <row r="96" spans="1:11" ht="68.5" thickBot="1">
      <c r="A96" s="47" t="s">
        <v>219</v>
      </c>
      <c r="B96" s="47" t="s">
        <v>195</v>
      </c>
      <c r="C96" s="44" t="s">
        <v>220</v>
      </c>
      <c r="D96" s="44" t="s">
        <v>197</v>
      </c>
      <c r="E96" s="44" t="s">
        <v>214</v>
      </c>
      <c r="F96" s="47" t="s">
        <v>433</v>
      </c>
      <c r="G96" s="3" t="s">
        <v>221</v>
      </c>
      <c r="H96" s="3" t="s">
        <v>222</v>
      </c>
      <c r="I96" s="44" t="s">
        <v>202</v>
      </c>
      <c r="J96" s="8" t="s">
        <v>128</v>
      </c>
      <c r="K96" s="9"/>
    </row>
    <row r="97" spans="1:11" ht="68.5" thickBot="1">
      <c r="A97" s="48"/>
      <c r="B97" s="48"/>
      <c r="C97" s="45"/>
      <c r="D97" s="45"/>
      <c r="E97" s="45"/>
      <c r="F97" s="48"/>
      <c r="G97" s="3" t="s">
        <v>223</v>
      </c>
      <c r="H97" s="3" t="s">
        <v>201</v>
      </c>
      <c r="I97" s="45"/>
      <c r="J97" s="8" t="s">
        <v>128</v>
      </c>
      <c r="K97" s="9"/>
    </row>
    <row r="98" spans="1:11" ht="68.5" thickBot="1">
      <c r="A98" s="49"/>
      <c r="B98" s="49"/>
      <c r="C98" s="46"/>
      <c r="D98" s="46"/>
      <c r="E98" s="46"/>
      <c r="F98" s="49"/>
      <c r="G98" s="3" t="s">
        <v>224</v>
      </c>
      <c r="H98" s="3" t="s">
        <v>222</v>
      </c>
      <c r="I98" s="46"/>
      <c r="J98" s="8" t="s">
        <v>128</v>
      </c>
      <c r="K98" s="9"/>
    </row>
    <row r="99" spans="1:11" ht="102.5" thickBot="1">
      <c r="A99" s="2" t="s">
        <v>225</v>
      </c>
      <c r="B99" s="8" t="s">
        <v>226</v>
      </c>
      <c r="C99" s="3" t="s">
        <v>227</v>
      </c>
      <c r="D99" s="3" t="s">
        <v>228</v>
      </c>
      <c r="E99" s="3" t="s">
        <v>229</v>
      </c>
      <c r="F99" s="2" t="s">
        <v>457</v>
      </c>
      <c r="G99" s="3" t="s">
        <v>230</v>
      </c>
      <c r="H99" s="3" t="s">
        <v>231</v>
      </c>
      <c r="I99" s="3" t="s">
        <v>232</v>
      </c>
      <c r="J99" s="8" t="s">
        <v>128</v>
      </c>
      <c r="K99" s="9"/>
    </row>
    <row r="100" spans="1:11" ht="102.5" thickBot="1">
      <c r="A100" s="2" t="s">
        <v>233</v>
      </c>
      <c r="B100" s="8" t="s">
        <v>234</v>
      </c>
      <c r="C100" s="3" t="s">
        <v>235</v>
      </c>
      <c r="D100" s="3" t="s">
        <v>236</v>
      </c>
      <c r="E100" s="3" t="s">
        <v>237</v>
      </c>
      <c r="F100" s="2" t="s">
        <v>458</v>
      </c>
      <c r="G100" s="3" t="s">
        <v>238</v>
      </c>
      <c r="H100" s="3" t="s">
        <v>239</v>
      </c>
      <c r="I100" s="3" t="s">
        <v>232</v>
      </c>
      <c r="J100" s="8" t="s">
        <v>128</v>
      </c>
      <c r="K100" s="9"/>
    </row>
    <row r="101" spans="1:11" ht="102.5" thickBot="1">
      <c r="A101" s="2" t="s">
        <v>240</v>
      </c>
      <c r="B101" s="8" t="s">
        <v>241</v>
      </c>
      <c r="C101" s="3" t="s">
        <v>242</v>
      </c>
      <c r="D101" s="3" t="s">
        <v>228</v>
      </c>
      <c r="E101" s="3" t="s">
        <v>243</v>
      </c>
      <c r="F101" s="2" t="s">
        <v>426</v>
      </c>
      <c r="G101" s="3" t="s">
        <v>244</v>
      </c>
      <c r="H101" s="3" t="s">
        <v>245</v>
      </c>
      <c r="I101" s="3" t="s">
        <v>246</v>
      </c>
      <c r="J101" s="8" t="s">
        <v>128</v>
      </c>
      <c r="K101" s="9"/>
    </row>
    <row r="102" spans="1:11" ht="187.5" thickBot="1">
      <c r="A102" s="47" t="s">
        <v>247</v>
      </c>
      <c r="B102" s="47" t="s">
        <v>248</v>
      </c>
      <c r="C102" s="44" t="s">
        <v>249</v>
      </c>
      <c r="D102" s="44" t="s">
        <v>250</v>
      </c>
      <c r="E102" s="44" t="s">
        <v>251</v>
      </c>
      <c r="F102" s="47" t="s">
        <v>459</v>
      </c>
      <c r="G102" s="3" t="s">
        <v>252</v>
      </c>
      <c r="H102" s="3" t="s">
        <v>253</v>
      </c>
      <c r="I102" s="3" t="s">
        <v>254</v>
      </c>
      <c r="J102" s="8" t="s">
        <v>128</v>
      </c>
      <c r="K102" s="9"/>
    </row>
    <row r="103" spans="1:11" ht="119.5" thickBot="1">
      <c r="A103" s="48"/>
      <c r="B103" s="48"/>
      <c r="C103" s="45"/>
      <c r="D103" s="45"/>
      <c r="E103" s="45"/>
      <c r="F103" s="48" t="s">
        <v>460</v>
      </c>
      <c r="G103" s="3" t="s">
        <v>255</v>
      </c>
      <c r="H103" s="3" t="s">
        <v>256</v>
      </c>
      <c r="I103" s="44" t="s">
        <v>257</v>
      </c>
      <c r="J103" s="8" t="s">
        <v>128</v>
      </c>
      <c r="K103" s="9"/>
    </row>
    <row r="104" spans="1:11" ht="68.5" thickBot="1">
      <c r="A104" s="48"/>
      <c r="B104" s="48"/>
      <c r="C104" s="45"/>
      <c r="D104" s="45"/>
      <c r="E104" s="45"/>
      <c r="F104" s="48" t="s">
        <v>460</v>
      </c>
      <c r="G104" s="3" t="s">
        <v>258</v>
      </c>
      <c r="H104" s="3" t="s">
        <v>259</v>
      </c>
      <c r="I104" s="45"/>
      <c r="J104" s="8" t="s">
        <v>128</v>
      </c>
      <c r="K104" s="9"/>
    </row>
    <row r="105" spans="1:11" ht="17.5" thickBot="1">
      <c r="A105" s="48"/>
      <c r="B105" s="48"/>
      <c r="C105" s="45"/>
      <c r="D105" s="45"/>
      <c r="E105" s="45"/>
      <c r="F105" s="48" t="s">
        <v>460</v>
      </c>
      <c r="G105" s="3" t="s">
        <v>48</v>
      </c>
      <c r="H105" s="3" t="s">
        <v>260</v>
      </c>
      <c r="I105" s="45"/>
      <c r="J105" s="8" t="s">
        <v>128</v>
      </c>
      <c r="K105" s="9"/>
    </row>
    <row r="106" spans="1:11" ht="85.5" thickBot="1">
      <c r="A106" s="48"/>
      <c r="B106" s="48"/>
      <c r="C106" s="45"/>
      <c r="D106" s="45"/>
      <c r="E106" s="45"/>
      <c r="F106" s="48" t="s">
        <v>460</v>
      </c>
      <c r="G106" s="3" t="s">
        <v>261</v>
      </c>
      <c r="H106" s="3" t="s">
        <v>262</v>
      </c>
      <c r="I106" s="45"/>
      <c r="J106" s="8" t="s">
        <v>128</v>
      </c>
      <c r="K106" s="9"/>
    </row>
    <row r="107" spans="1:11" ht="17.5" thickBot="1">
      <c r="A107" s="48"/>
      <c r="B107" s="48"/>
      <c r="C107" s="45"/>
      <c r="D107" s="45"/>
      <c r="E107" s="45"/>
      <c r="F107" s="48" t="s">
        <v>460</v>
      </c>
      <c r="G107" s="3" t="s">
        <v>48</v>
      </c>
      <c r="H107" s="3" t="s">
        <v>263</v>
      </c>
      <c r="I107" s="45"/>
      <c r="J107" s="8" t="s">
        <v>128</v>
      </c>
      <c r="K107" s="9"/>
    </row>
    <row r="108" spans="1:11" ht="136.5" thickBot="1">
      <c r="A108" s="48"/>
      <c r="B108" s="48"/>
      <c r="C108" s="45"/>
      <c r="D108" s="45"/>
      <c r="E108" s="45"/>
      <c r="F108" s="48" t="s">
        <v>460</v>
      </c>
      <c r="G108" s="3" t="s">
        <v>264</v>
      </c>
      <c r="H108" s="3" t="s">
        <v>265</v>
      </c>
      <c r="I108" s="45"/>
      <c r="J108" s="8" t="s">
        <v>128</v>
      </c>
      <c r="K108" s="9"/>
    </row>
    <row r="109" spans="1:11" ht="34.5" thickBot="1">
      <c r="A109" s="49"/>
      <c r="B109" s="49"/>
      <c r="C109" s="46"/>
      <c r="D109" s="46"/>
      <c r="E109" s="46"/>
      <c r="F109" s="49" t="s">
        <v>460</v>
      </c>
      <c r="G109" s="3" t="s">
        <v>176</v>
      </c>
      <c r="H109" s="3" t="s">
        <v>266</v>
      </c>
      <c r="I109" s="46"/>
      <c r="J109" s="8" t="s">
        <v>128</v>
      </c>
      <c r="K109" s="9"/>
    </row>
    <row r="110" spans="1:11" ht="68.5" thickBot="1">
      <c r="A110" s="2" t="s">
        <v>267</v>
      </c>
      <c r="B110" s="8" t="s">
        <v>268</v>
      </c>
      <c r="C110" s="3" t="s">
        <v>269</v>
      </c>
      <c r="D110" s="3" t="s">
        <v>270</v>
      </c>
      <c r="E110" s="3" t="s">
        <v>271</v>
      </c>
      <c r="F110" s="2" t="s">
        <v>461</v>
      </c>
      <c r="G110" s="3" t="s">
        <v>7</v>
      </c>
      <c r="H110" s="3" t="s">
        <v>7</v>
      </c>
      <c r="I110" s="3" t="s">
        <v>272</v>
      </c>
      <c r="J110" s="8" t="s">
        <v>128</v>
      </c>
      <c r="K110" s="9"/>
    </row>
    <row r="111" spans="1:11" ht="102.5" thickBot="1">
      <c r="A111" s="2" t="s">
        <v>273</v>
      </c>
      <c r="B111" s="8" t="s">
        <v>274</v>
      </c>
      <c r="C111" s="3" t="s">
        <v>275</v>
      </c>
      <c r="D111" s="3" t="s">
        <v>276</v>
      </c>
      <c r="E111" s="3" t="s">
        <v>277</v>
      </c>
      <c r="F111" s="2" t="s">
        <v>462</v>
      </c>
      <c r="G111" s="3" t="s">
        <v>278</v>
      </c>
      <c r="H111" s="3" t="s">
        <v>279</v>
      </c>
      <c r="I111" s="3" t="s">
        <v>280</v>
      </c>
      <c r="J111" s="8" t="s">
        <v>128</v>
      </c>
      <c r="K111" s="7"/>
    </row>
    <row r="112" spans="1:11" ht="17.5" thickBot="1">
      <c r="A112" s="47" t="s">
        <v>281</v>
      </c>
      <c r="B112" s="47" t="s">
        <v>282</v>
      </c>
      <c r="C112" s="44" t="s">
        <v>283</v>
      </c>
      <c r="D112" s="44" t="s">
        <v>284</v>
      </c>
      <c r="E112" s="44" t="s">
        <v>277</v>
      </c>
      <c r="F112" s="47" t="s">
        <v>463</v>
      </c>
      <c r="G112" s="3" t="s">
        <v>278</v>
      </c>
      <c r="H112" s="3" t="s">
        <v>279</v>
      </c>
      <c r="I112" s="58"/>
      <c r="J112" s="8" t="s">
        <v>128</v>
      </c>
      <c r="K112" s="7"/>
    </row>
    <row r="113" spans="1:11" ht="17.5" thickBot="1">
      <c r="A113" s="48"/>
      <c r="B113" s="48"/>
      <c r="C113" s="45"/>
      <c r="D113" s="45"/>
      <c r="E113" s="45"/>
      <c r="F113" s="48" t="s">
        <v>460</v>
      </c>
      <c r="G113" s="3" t="s">
        <v>285</v>
      </c>
      <c r="H113" s="3" t="s">
        <v>286</v>
      </c>
      <c r="I113" s="59"/>
      <c r="J113" s="8" t="s">
        <v>128</v>
      </c>
      <c r="K113" s="7"/>
    </row>
    <row r="114" spans="1:11" ht="17.5" thickBot="1">
      <c r="A114" s="48"/>
      <c r="B114" s="48"/>
      <c r="C114" s="45"/>
      <c r="D114" s="45"/>
      <c r="E114" s="45"/>
      <c r="F114" s="48" t="s">
        <v>460</v>
      </c>
      <c r="G114" s="3" t="s">
        <v>287</v>
      </c>
      <c r="H114" s="3" t="s">
        <v>288</v>
      </c>
      <c r="I114" s="59"/>
      <c r="J114" s="8" t="s">
        <v>128</v>
      </c>
      <c r="K114" s="7"/>
    </row>
    <row r="115" spans="1:11" ht="17.5" thickBot="1">
      <c r="A115" s="48"/>
      <c r="B115" s="48"/>
      <c r="C115" s="45"/>
      <c r="D115" s="45"/>
      <c r="E115" s="45"/>
      <c r="F115" s="48" t="s">
        <v>460</v>
      </c>
      <c r="G115" s="3" t="s">
        <v>278</v>
      </c>
      <c r="H115" s="3" t="s">
        <v>279</v>
      </c>
      <c r="I115" s="59"/>
      <c r="J115" s="8" t="s">
        <v>128</v>
      </c>
      <c r="K115" s="7"/>
    </row>
    <row r="116" spans="1:11" ht="68.5" thickBot="1">
      <c r="A116" s="48"/>
      <c r="B116" s="48"/>
      <c r="C116" s="45"/>
      <c r="D116" s="45"/>
      <c r="E116" s="45"/>
      <c r="F116" s="48" t="str">
        <f t="shared" ref="F116:F118" si="0">_xlfn.CONCAT("TC-",A116)</f>
        <v>TC-</v>
      </c>
      <c r="G116" s="3" t="s">
        <v>150</v>
      </c>
      <c r="H116" s="3" t="s">
        <v>289</v>
      </c>
      <c r="I116" s="59"/>
      <c r="J116" s="8" t="s">
        <v>128</v>
      </c>
      <c r="K116" s="7"/>
    </row>
    <row r="117" spans="1:11" ht="68.5" thickBot="1">
      <c r="A117" s="48"/>
      <c r="B117" s="48"/>
      <c r="C117" s="45"/>
      <c r="D117" s="45"/>
      <c r="E117" s="45"/>
      <c r="F117" s="48" t="str">
        <f t="shared" si="0"/>
        <v>TC-</v>
      </c>
      <c r="G117" s="3" t="s">
        <v>153</v>
      </c>
      <c r="H117" s="3" t="s">
        <v>290</v>
      </c>
      <c r="I117" s="59"/>
      <c r="J117" s="8" t="s">
        <v>128</v>
      </c>
      <c r="K117" s="7"/>
    </row>
    <row r="118" spans="1:11" ht="17.5" thickBot="1">
      <c r="A118" s="49"/>
      <c r="B118" s="49"/>
      <c r="C118" s="46"/>
      <c r="D118" s="46"/>
      <c r="E118" s="46"/>
      <c r="F118" s="49" t="str">
        <f t="shared" si="0"/>
        <v>TC-</v>
      </c>
      <c r="G118" s="3" t="s">
        <v>278</v>
      </c>
      <c r="H118" s="3" t="s">
        <v>279</v>
      </c>
      <c r="I118" s="60"/>
      <c r="J118" s="8" t="s">
        <v>128</v>
      </c>
      <c r="K118" s="7"/>
    </row>
    <row r="119" spans="1:11" ht="17.5" thickBot="1">
      <c r="A119" s="24" t="s">
        <v>418</v>
      </c>
      <c r="B119" s="1" t="s">
        <v>11</v>
      </c>
      <c r="C119" s="1" t="s">
        <v>12</v>
      </c>
      <c r="D119" s="1" t="s">
        <v>13</v>
      </c>
      <c r="E119" s="22" t="s">
        <v>408</v>
      </c>
      <c r="F119" s="22" t="s">
        <v>422</v>
      </c>
      <c r="G119" s="22" t="s">
        <v>417</v>
      </c>
      <c r="H119" s="22" t="s">
        <v>407</v>
      </c>
      <c r="I119" s="1" t="s">
        <v>14</v>
      </c>
      <c r="J119" s="1" t="s">
        <v>15</v>
      </c>
      <c r="K119" s="1" t="s">
        <v>440</v>
      </c>
    </row>
    <row r="120" spans="1:11" ht="51.5" thickBot="1">
      <c r="A120" s="47" t="s">
        <v>291</v>
      </c>
      <c r="B120" s="47" t="s">
        <v>18</v>
      </c>
      <c r="C120" s="44" t="s">
        <v>292</v>
      </c>
      <c r="D120" s="44" t="s">
        <v>293</v>
      </c>
      <c r="E120" s="3" t="s">
        <v>294</v>
      </c>
      <c r="F120" s="47" t="s">
        <v>423</v>
      </c>
      <c r="G120" s="3" t="s">
        <v>295</v>
      </c>
      <c r="H120" s="3" t="s">
        <v>359</v>
      </c>
      <c r="I120" s="7"/>
      <c r="J120" s="8" t="s">
        <v>128</v>
      </c>
      <c r="K120" s="7"/>
    </row>
    <row r="121" spans="1:11" ht="34.5" thickBot="1">
      <c r="A121" s="48"/>
      <c r="B121" s="48"/>
      <c r="C121" s="45"/>
      <c r="D121" s="45"/>
      <c r="E121" s="3" t="s">
        <v>294</v>
      </c>
      <c r="F121" s="48"/>
      <c r="G121" s="3" t="s">
        <v>296</v>
      </c>
      <c r="H121" s="3" t="s">
        <v>297</v>
      </c>
      <c r="I121" s="7"/>
      <c r="J121" s="8" t="s">
        <v>128</v>
      </c>
      <c r="K121" s="7"/>
    </row>
    <row r="122" spans="1:11" ht="68.5" thickBot="1">
      <c r="A122" s="49"/>
      <c r="B122" s="49"/>
      <c r="C122" s="46"/>
      <c r="D122" s="46"/>
      <c r="E122" s="3" t="s">
        <v>294</v>
      </c>
      <c r="F122" s="49"/>
      <c r="G122" s="3" t="s">
        <v>298</v>
      </c>
      <c r="H122" s="3" t="s">
        <v>299</v>
      </c>
      <c r="I122" s="7"/>
      <c r="J122" s="8" t="s">
        <v>128</v>
      </c>
      <c r="K122" s="7"/>
    </row>
    <row r="123" spans="1:11" ht="68.5" thickBot="1">
      <c r="A123" s="47" t="s">
        <v>300</v>
      </c>
      <c r="B123" s="47" t="s">
        <v>195</v>
      </c>
      <c r="C123" s="44" t="s">
        <v>301</v>
      </c>
      <c r="D123" s="44" t="s">
        <v>293</v>
      </c>
      <c r="E123" s="3" t="s">
        <v>294</v>
      </c>
      <c r="F123" s="47" t="s">
        <v>424</v>
      </c>
      <c r="G123" s="3" t="s">
        <v>302</v>
      </c>
      <c r="H123" s="3" t="s">
        <v>299</v>
      </c>
      <c r="I123" s="7"/>
      <c r="J123" s="8" t="s">
        <v>128</v>
      </c>
      <c r="K123" s="7"/>
    </row>
    <row r="124" spans="1:11" ht="68.5" thickBot="1">
      <c r="A124" s="48"/>
      <c r="B124" s="48"/>
      <c r="C124" s="45"/>
      <c r="D124" s="45"/>
      <c r="E124" s="3" t="s">
        <v>294</v>
      </c>
      <c r="F124" s="48"/>
      <c r="G124" s="3" t="s">
        <v>200</v>
      </c>
      <c r="H124" s="3" t="s">
        <v>303</v>
      </c>
      <c r="I124" s="7"/>
      <c r="J124" s="8" t="s">
        <v>128</v>
      </c>
      <c r="K124" s="7"/>
    </row>
    <row r="125" spans="1:11" ht="68.5" thickBot="1">
      <c r="A125" s="49"/>
      <c r="B125" s="49"/>
      <c r="C125" s="46"/>
      <c r="D125" s="46"/>
      <c r="E125" s="3" t="s">
        <v>294</v>
      </c>
      <c r="F125" s="49"/>
      <c r="G125" s="3" t="s">
        <v>203</v>
      </c>
      <c r="H125" s="3" t="s">
        <v>299</v>
      </c>
      <c r="I125" s="7"/>
      <c r="J125" s="8" t="s">
        <v>128</v>
      </c>
      <c r="K125" s="7"/>
    </row>
    <row r="126" spans="1:11" ht="68.5" thickBot="1">
      <c r="A126" s="47" t="s">
        <v>304</v>
      </c>
      <c r="B126" s="47" t="s">
        <v>305</v>
      </c>
      <c r="C126" s="44" t="s">
        <v>306</v>
      </c>
      <c r="D126" s="44" t="s">
        <v>307</v>
      </c>
      <c r="E126" s="3" t="s">
        <v>294</v>
      </c>
      <c r="F126" s="47" t="s">
        <v>428</v>
      </c>
      <c r="G126" s="3" t="s">
        <v>302</v>
      </c>
      <c r="H126" s="3" t="s">
        <v>299</v>
      </c>
      <c r="I126" s="7"/>
      <c r="J126" s="8" t="s">
        <v>128</v>
      </c>
      <c r="K126" s="7"/>
    </row>
    <row r="127" spans="1:11" ht="51.5" thickBot="1">
      <c r="A127" s="49"/>
      <c r="B127" s="49"/>
      <c r="C127" s="46"/>
      <c r="D127" s="46"/>
      <c r="E127" s="3" t="s">
        <v>294</v>
      </c>
      <c r="F127" s="49"/>
      <c r="G127" s="3" t="s">
        <v>308</v>
      </c>
      <c r="H127" s="3" t="s">
        <v>309</v>
      </c>
      <c r="I127" s="7"/>
      <c r="J127" s="8" t="s">
        <v>128</v>
      </c>
      <c r="K127" s="7"/>
    </row>
    <row r="128" spans="1:11" ht="68.5" thickBot="1">
      <c r="A128" s="47" t="s">
        <v>310</v>
      </c>
      <c r="B128" s="47" t="s">
        <v>311</v>
      </c>
      <c r="C128" s="44" t="s">
        <v>312</v>
      </c>
      <c r="D128" s="44" t="s">
        <v>313</v>
      </c>
      <c r="E128" s="3" t="s">
        <v>294</v>
      </c>
      <c r="F128" s="47" t="s">
        <v>429</v>
      </c>
      <c r="G128" s="3" t="s">
        <v>302</v>
      </c>
      <c r="H128" s="3" t="s">
        <v>299</v>
      </c>
      <c r="I128" s="44" t="s">
        <v>314</v>
      </c>
      <c r="J128" s="8" t="s">
        <v>128</v>
      </c>
      <c r="K128" s="7"/>
    </row>
    <row r="129" spans="1:11" ht="119.5" thickBot="1">
      <c r="A129" s="49"/>
      <c r="B129" s="49"/>
      <c r="C129" s="46"/>
      <c r="D129" s="46"/>
      <c r="E129" s="3" t="s">
        <v>294</v>
      </c>
      <c r="F129" s="49"/>
      <c r="G129" s="3" t="s">
        <v>315</v>
      </c>
      <c r="H129" s="3" t="s">
        <v>316</v>
      </c>
      <c r="I129" s="46"/>
      <c r="J129" s="8" t="s">
        <v>128</v>
      </c>
      <c r="K129" s="7"/>
    </row>
    <row r="130" spans="1:11" ht="68.5" thickBot="1">
      <c r="A130" s="47" t="s">
        <v>317</v>
      </c>
      <c r="B130" s="47" t="s">
        <v>318</v>
      </c>
      <c r="C130" s="44" t="s">
        <v>319</v>
      </c>
      <c r="D130" s="44" t="s">
        <v>320</v>
      </c>
      <c r="E130" s="44" t="s">
        <v>321</v>
      </c>
      <c r="F130" s="47" t="s">
        <v>430</v>
      </c>
      <c r="G130" s="3" t="s">
        <v>302</v>
      </c>
      <c r="H130" s="3" t="s">
        <v>299</v>
      </c>
      <c r="I130" s="7"/>
      <c r="J130" s="8" t="s">
        <v>128</v>
      </c>
      <c r="K130" s="7"/>
    </row>
    <row r="131" spans="1:11" ht="51.5" thickBot="1">
      <c r="A131" s="48"/>
      <c r="B131" s="48"/>
      <c r="C131" s="45"/>
      <c r="D131" s="45"/>
      <c r="E131" s="45"/>
      <c r="F131" s="48"/>
      <c r="G131" s="3" t="s">
        <v>322</v>
      </c>
      <c r="H131" s="3" t="s">
        <v>323</v>
      </c>
      <c r="I131" s="7"/>
      <c r="J131" s="8" t="s">
        <v>128</v>
      </c>
      <c r="K131" s="7"/>
    </row>
    <row r="132" spans="1:11" ht="17.5" thickBot="1">
      <c r="A132" s="48"/>
      <c r="B132" s="48"/>
      <c r="C132" s="45"/>
      <c r="D132" s="45"/>
      <c r="E132" s="45"/>
      <c r="F132" s="48"/>
      <c r="G132" s="3" t="s">
        <v>324</v>
      </c>
      <c r="H132" s="3" t="s">
        <v>325</v>
      </c>
      <c r="I132" s="7"/>
      <c r="J132" s="8" t="s">
        <v>128</v>
      </c>
      <c r="K132" s="7"/>
    </row>
    <row r="133" spans="1:11" ht="102.5" thickBot="1">
      <c r="A133" s="48"/>
      <c r="B133" s="48"/>
      <c r="C133" s="45"/>
      <c r="D133" s="45"/>
      <c r="E133" s="45"/>
      <c r="F133" s="48"/>
      <c r="G133" s="3" t="s">
        <v>326</v>
      </c>
      <c r="H133" s="3" t="s">
        <v>106</v>
      </c>
      <c r="I133" s="7"/>
      <c r="J133" s="8" t="s">
        <v>128</v>
      </c>
      <c r="K133" s="7"/>
    </row>
    <row r="134" spans="1:11" ht="68.5" thickBot="1">
      <c r="A134" s="48"/>
      <c r="B134" s="48"/>
      <c r="C134" s="45"/>
      <c r="D134" s="45"/>
      <c r="E134" s="45"/>
      <c r="F134" s="48"/>
      <c r="G134" s="3" t="s">
        <v>327</v>
      </c>
      <c r="H134" s="3" t="s">
        <v>328</v>
      </c>
      <c r="I134" s="7"/>
      <c r="J134" s="8" t="s">
        <v>128</v>
      </c>
      <c r="K134" s="6" t="s">
        <v>329</v>
      </c>
    </row>
    <row r="135" spans="1:11" ht="34.5" thickBot="1">
      <c r="A135" s="49"/>
      <c r="B135" s="49"/>
      <c r="C135" s="46"/>
      <c r="D135" s="46"/>
      <c r="E135" s="46"/>
      <c r="F135" s="49"/>
      <c r="G135" s="3" t="s">
        <v>330</v>
      </c>
      <c r="H135" s="3" t="s">
        <v>331</v>
      </c>
      <c r="I135" s="7"/>
      <c r="J135" s="8" t="s">
        <v>128</v>
      </c>
      <c r="K135" s="6" t="s">
        <v>332</v>
      </c>
    </row>
    <row r="136" spans="1:11" ht="68.5" thickBot="1">
      <c r="A136" s="47" t="s">
        <v>333</v>
      </c>
      <c r="B136" s="47" t="s">
        <v>334</v>
      </c>
      <c r="C136" s="44" t="s">
        <v>421</v>
      </c>
      <c r="D136" s="44" t="s">
        <v>335</v>
      </c>
      <c r="E136" s="44" t="s">
        <v>321</v>
      </c>
      <c r="F136" s="47" t="s">
        <v>431</v>
      </c>
      <c r="G136" s="3" t="s">
        <v>302</v>
      </c>
      <c r="H136" s="3" t="s">
        <v>299</v>
      </c>
      <c r="I136" s="7"/>
      <c r="J136" s="8" t="s">
        <v>128</v>
      </c>
      <c r="K136" s="7"/>
    </row>
    <row r="137" spans="1:11" ht="51.5" thickBot="1">
      <c r="A137" s="48"/>
      <c r="B137" s="48"/>
      <c r="C137" s="45"/>
      <c r="D137" s="45"/>
      <c r="E137" s="45"/>
      <c r="F137" s="48"/>
      <c r="G137" s="3" t="s">
        <v>322</v>
      </c>
      <c r="H137" s="3" t="s">
        <v>323</v>
      </c>
      <c r="I137" s="7"/>
      <c r="J137" s="8" t="s">
        <v>128</v>
      </c>
      <c r="K137" s="7"/>
    </row>
    <row r="138" spans="1:11" ht="17.5" thickBot="1">
      <c r="A138" s="48"/>
      <c r="B138" s="48"/>
      <c r="C138" s="45"/>
      <c r="D138" s="45"/>
      <c r="E138" s="45"/>
      <c r="F138" s="48"/>
      <c r="G138" s="3" t="s">
        <v>336</v>
      </c>
      <c r="H138" s="3" t="s">
        <v>337</v>
      </c>
      <c r="I138" s="7"/>
      <c r="J138" s="8" t="s">
        <v>128</v>
      </c>
      <c r="K138" s="7"/>
    </row>
    <row r="139" spans="1:11" ht="68.5" thickBot="1">
      <c r="A139" s="48"/>
      <c r="B139" s="48"/>
      <c r="C139" s="45"/>
      <c r="D139" s="45"/>
      <c r="E139" s="45"/>
      <c r="F139" s="48"/>
      <c r="G139" s="3" t="s">
        <v>327</v>
      </c>
      <c r="H139" s="3" t="s">
        <v>338</v>
      </c>
      <c r="I139" s="7"/>
      <c r="J139" s="8" t="s">
        <v>128</v>
      </c>
      <c r="K139" s="6" t="s">
        <v>329</v>
      </c>
    </row>
    <row r="140" spans="1:11" ht="34.5" thickBot="1">
      <c r="A140" s="49"/>
      <c r="B140" s="49"/>
      <c r="C140" s="46"/>
      <c r="D140" s="46"/>
      <c r="E140" s="46"/>
      <c r="F140" s="49"/>
      <c r="G140" s="3" t="s">
        <v>330</v>
      </c>
      <c r="H140" s="3" t="s">
        <v>339</v>
      </c>
      <c r="I140" s="7"/>
      <c r="J140" s="8" t="s">
        <v>128</v>
      </c>
      <c r="K140" s="6" t="s">
        <v>332</v>
      </c>
    </row>
    <row r="141" spans="1:11" ht="68.5" thickBot="1">
      <c r="A141" s="47" t="s">
        <v>340</v>
      </c>
      <c r="B141" s="47" t="s">
        <v>341</v>
      </c>
      <c r="C141" s="44" t="s">
        <v>342</v>
      </c>
      <c r="D141" s="44" t="s">
        <v>320</v>
      </c>
      <c r="E141" s="44" t="s">
        <v>321</v>
      </c>
      <c r="F141" s="47" t="s">
        <v>427</v>
      </c>
      <c r="G141" s="3" t="s">
        <v>302</v>
      </c>
      <c r="H141" s="3" t="s">
        <v>299</v>
      </c>
      <c r="I141" s="44" t="s">
        <v>314</v>
      </c>
      <c r="J141" s="8" t="s">
        <v>128</v>
      </c>
      <c r="K141" s="7"/>
    </row>
    <row r="142" spans="1:11" ht="68.5" thickBot="1">
      <c r="A142" s="48"/>
      <c r="B142" s="48"/>
      <c r="C142" s="45"/>
      <c r="D142" s="45"/>
      <c r="E142" s="45"/>
      <c r="F142" s="48"/>
      <c r="G142" s="3" t="s">
        <v>343</v>
      </c>
      <c r="H142" s="3" t="s">
        <v>316</v>
      </c>
      <c r="I142" s="45"/>
      <c r="J142" s="8" t="s">
        <v>128</v>
      </c>
      <c r="K142" s="7"/>
    </row>
    <row r="143" spans="1:11" ht="17.5" thickBot="1">
      <c r="A143" s="48"/>
      <c r="B143" s="48"/>
      <c r="C143" s="45"/>
      <c r="D143" s="45"/>
      <c r="E143" s="45"/>
      <c r="F143" s="48"/>
      <c r="G143" s="3" t="s">
        <v>324</v>
      </c>
      <c r="H143" s="3" t="s">
        <v>325</v>
      </c>
      <c r="I143" s="45"/>
      <c r="J143" s="8" t="s">
        <v>128</v>
      </c>
      <c r="K143" s="7"/>
    </row>
    <row r="144" spans="1:11" ht="68.5" thickBot="1">
      <c r="A144" s="48"/>
      <c r="B144" s="48"/>
      <c r="C144" s="45"/>
      <c r="D144" s="45"/>
      <c r="E144" s="45"/>
      <c r="F144" s="48"/>
      <c r="G144" s="3" t="s">
        <v>327</v>
      </c>
      <c r="H144" s="3" t="s">
        <v>328</v>
      </c>
      <c r="I144" s="45"/>
      <c r="J144" s="8" t="s">
        <v>128</v>
      </c>
      <c r="K144" s="6" t="s">
        <v>329</v>
      </c>
    </row>
    <row r="145" spans="1:11" ht="34.5" thickBot="1">
      <c r="A145" s="49"/>
      <c r="B145" s="49"/>
      <c r="C145" s="46"/>
      <c r="D145" s="46"/>
      <c r="E145" s="46"/>
      <c r="F145" s="49"/>
      <c r="G145" s="3" t="s">
        <v>330</v>
      </c>
      <c r="H145" s="3" t="s">
        <v>339</v>
      </c>
      <c r="I145" s="46"/>
      <c r="J145" s="8" t="s">
        <v>128</v>
      </c>
      <c r="K145" s="6" t="s">
        <v>332</v>
      </c>
    </row>
    <row r="146" spans="1:11">
      <c r="A146" s="27"/>
      <c r="B146" s="27"/>
      <c r="C146" s="27"/>
      <c r="D146" s="27"/>
      <c r="E146" s="27"/>
      <c r="F146" s="27"/>
      <c r="G146" s="27"/>
      <c r="H146" s="27"/>
      <c r="I146" s="27"/>
      <c r="J146" s="27"/>
    </row>
    <row r="147" spans="1:11">
      <c r="A147" s="27"/>
      <c r="B147" s="27"/>
      <c r="C147" s="27"/>
      <c r="D147" s="27"/>
      <c r="E147" s="27"/>
      <c r="F147" s="27"/>
      <c r="G147" s="27"/>
      <c r="H147" s="27"/>
      <c r="I147" s="27"/>
      <c r="J147" s="27"/>
    </row>
    <row r="148" spans="1:11">
      <c r="A148" s="27"/>
      <c r="B148" s="27"/>
      <c r="C148" s="27"/>
      <c r="D148" s="27"/>
      <c r="E148" s="27"/>
      <c r="F148" s="27"/>
      <c r="G148" s="27"/>
      <c r="H148" s="27"/>
      <c r="I148" s="27"/>
      <c r="J148" s="27"/>
    </row>
    <row r="149" spans="1:11">
      <c r="A149" s="27"/>
      <c r="B149" s="27"/>
      <c r="C149" s="27"/>
      <c r="D149" s="27"/>
      <c r="E149" s="27"/>
      <c r="F149" s="27"/>
      <c r="G149" s="27"/>
      <c r="H149" s="27"/>
      <c r="I149" s="27"/>
      <c r="J149" s="27"/>
    </row>
    <row r="150" spans="1:11">
      <c r="A150" s="27"/>
      <c r="B150" s="27"/>
      <c r="C150" s="27"/>
      <c r="D150" s="27"/>
      <c r="E150" s="27"/>
      <c r="F150" s="27"/>
      <c r="G150" s="27"/>
      <c r="H150" s="27"/>
      <c r="I150" s="27"/>
      <c r="J150" s="27"/>
    </row>
    <row r="151" spans="1:11">
      <c r="A151" s="27"/>
      <c r="B151" s="27"/>
      <c r="C151" s="27"/>
      <c r="D151" s="27"/>
      <c r="E151" s="27"/>
      <c r="F151" s="27"/>
      <c r="G151" s="27"/>
      <c r="H151" s="27"/>
      <c r="I151" s="27"/>
      <c r="J151" s="27"/>
    </row>
    <row r="152" spans="1:11">
      <c r="A152" s="27"/>
      <c r="B152" s="27"/>
      <c r="C152" s="27"/>
      <c r="D152" s="27"/>
      <c r="E152" s="27"/>
      <c r="F152" s="27"/>
      <c r="G152" s="27"/>
      <c r="H152" s="27"/>
      <c r="I152" s="27"/>
      <c r="J152" s="27"/>
    </row>
    <row r="153" spans="1:11">
      <c r="A153" s="27"/>
      <c r="B153" s="27"/>
      <c r="C153" s="27"/>
      <c r="D153" s="27"/>
      <c r="E153" s="27"/>
      <c r="F153" s="27"/>
      <c r="G153" s="27"/>
      <c r="H153" s="27"/>
      <c r="I153" s="27"/>
      <c r="J153" s="27"/>
    </row>
    <row r="154" spans="1:11">
      <c r="A154" s="27"/>
      <c r="B154" s="27"/>
      <c r="C154" s="27"/>
      <c r="D154" s="27"/>
      <c r="E154" s="27"/>
      <c r="F154" s="27"/>
      <c r="G154" s="27"/>
      <c r="H154" s="27"/>
      <c r="I154" s="27"/>
      <c r="J154" s="27"/>
    </row>
    <row r="155" spans="1:11">
      <c r="A155" s="27"/>
      <c r="B155" s="27"/>
      <c r="C155" s="27"/>
      <c r="D155" s="27"/>
      <c r="E155" s="27"/>
      <c r="F155" s="27"/>
      <c r="G155" s="27"/>
      <c r="H155" s="27"/>
      <c r="I155" s="27"/>
      <c r="J155" s="27"/>
    </row>
    <row r="156" spans="1:11">
      <c r="A156" s="27"/>
      <c r="B156" s="27"/>
      <c r="C156" s="27"/>
      <c r="D156" s="27"/>
      <c r="E156" s="27"/>
      <c r="F156" s="27"/>
      <c r="G156" s="27"/>
      <c r="H156" s="27"/>
      <c r="I156" s="27"/>
      <c r="J156" s="27"/>
    </row>
    <row r="157" spans="1:11">
      <c r="A157" s="27"/>
      <c r="B157" s="27"/>
      <c r="C157" s="27"/>
      <c r="D157" s="27"/>
      <c r="E157" s="27"/>
      <c r="F157" s="27"/>
      <c r="G157" s="27"/>
      <c r="H157" s="27"/>
      <c r="I157" s="27"/>
      <c r="J157" s="27"/>
    </row>
    <row r="158" spans="1:11">
      <c r="A158" s="27"/>
      <c r="B158" s="27"/>
      <c r="C158" s="27"/>
      <c r="D158" s="27"/>
      <c r="E158" s="27"/>
      <c r="F158" s="27"/>
      <c r="G158" s="27"/>
      <c r="H158" s="27"/>
      <c r="I158" s="27"/>
      <c r="J158" s="27"/>
    </row>
    <row r="159" spans="1:11">
      <c r="A159" s="27"/>
      <c r="B159" s="27"/>
      <c r="C159" s="27"/>
      <c r="D159" s="27"/>
      <c r="E159" s="27"/>
      <c r="F159" s="27"/>
      <c r="G159" s="27"/>
      <c r="H159" s="27"/>
      <c r="I159" s="27"/>
      <c r="J159" s="27"/>
    </row>
    <row r="160" spans="1:11">
      <c r="A160" s="27"/>
      <c r="B160" s="27"/>
      <c r="C160" s="27"/>
      <c r="D160" s="27"/>
      <c r="E160" s="27"/>
      <c r="F160" s="27"/>
      <c r="G160" s="27"/>
      <c r="H160" s="27"/>
      <c r="I160" s="27"/>
      <c r="J160" s="27"/>
    </row>
    <row r="161" spans="1:10">
      <c r="A161" s="27"/>
      <c r="B161" s="27"/>
      <c r="C161" s="27"/>
      <c r="D161" s="27"/>
      <c r="E161" s="27"/>
      <c r="F161" s="27"/>
      <c r="G161" s="27"/>
      <c r="H161" s="27"/>
      <c r="I161" s="27"/>
      <c r="J161" s="27"/>
    </row>
    <row r="162" spans="1:10">
      <c r="A162" s="27"/>
      <c r="B162" s="27"/>
      <c r="C162" s="27"/>
      <c r="D162" s="27"/>
      <c r="E162" s="27"/>
      <c r="F162" s="27"/>
      <c r="G162" s="27"/>
      <c r="H162" s="27"/>
      <c r="I162" s="27"/>
      <c r="J162" s="27"/>
    </row>
    <row r="163" spans="1:10">
      <c r="A163" s="27"/>
      <c r="B163" s="27"/>
      <c r="C163" s="27"/>
      <c r="D163" s="27"/>
      <c r="E163" s="27"/>
      <c r="F163" s="27"/>
      <c r="G163" s="27"/>
      <c r="H163" s="27"/>
      <c r="I163" s="27"/>
      <c r="J163" s="27"/>
    </row>
    <row r="164" spans="1:10">
      <c r="A164" s="27"/>
      <c r="B164" s="27"/>
      <c r="C164" s="27"/>
      <c r="D164" s="27"/>
      <c r="E164" s="27"/>
      <c r="F164" s="27"/>
      <c r="G164" s="27"/>
      <c r="H164" s="27"/>
      <c r="I164" s="27"/>
      <c r="J164" s="27"/>
    </row>
    <row r="165" spans="1:10">
      <c r="A165" s="27"/>
      <c r="B165" s="27"/>
      <c r="C165" s="27"/>
      <c r="D165" s="27"/>
      <c r="E165" s="27"/>
      <c r="F165" s="27"/>
      <c r="G165" s="27"/>
      <c r="H165" s="27"/>
      <c r="I165" s="27"/>
      <c r="J165" s="27"/>
    </row>
    <row r="166" spans="1:10">
      <c r="A166" s="27"/>
      <c r="B166" s="27"/>
      <c r="C166" s="27"/>
      <c r="D166" s="27"/>
      <c r="E166" s="27"/>
      <c r="F166" s="27"/>
      <c r="G166" s="27"/>
      <c r="H166" s="27"/>
      <c r="I166" s="27"/>
      <c r="J166" s="27"/>
    </row>
    <row r="167" spans="1:10">
      <c r="A167" s="27"/>
      <c r="B167" s="27"/>
      <c r="C167" s="27"/>
      <c r="D167" s="27"/>
      <c r="E167" s="27"/>
      <c r="F167" s="27"/>
      <c r="G167" s="27"/>
      <c r="H167" s="27"/>
      <c r="I167" s="27"/>
      <c r="J167" s="27"/>
    </row>
    <row r="168" spans="1:10">
      <c r="A168" s="27"/>
      <c r="B168" s="27"/>
      <c r="C168" s="27"/>
      <c r="D168" s="27"/>
      <c r="E168" s="27"/>
      <c r="F168" s="27"/>
      <c r="G168" s="27"/>
      <c r="H168" s="27"/>
      <c r="I168" s="27"/>
      <c r="J168" s="27"/>
    </row>
    <row r="169" spans="1:10">
      <c r="A169" s="27"/>
      <c r="B169" s="27"/>
      <c r="C169" s="27"/>
      <c r="D169" s="27"/>
      <c r="E169" s="27"/>
      <c r="F169" s="27"/>
      <c r="G169" s="27"/>
      <c r="H169" s="27"/>
      <c r="I169" s="27"/>
      <c r="J169" s="27"/>
    </row>
    <row r="170" spans="1:10">
      <c r="A170" s="27"/>
      <c r="B170" s="27"/>
      <c r="C170" s="27"/>
      <c r="D170" s="27"/>
      <c r="E170" s="27"/>
      <c r="F170" s="27"/>
      <c r="G170" s="27"/>
      <c r="H170" s="27"/>
      <c r="I170" s="27"/>
      <c r="J170" s="27"/>
    </row>
    <row r="171" spans="1:10">
      <c r="A171" s="27"/>
      <c r="B171" s="27"/>
      <c r="C171" s="27"/>
      <c r="D171" s="27"/>
      <c r="E171" s="27"/>
      <c r="F171" s="27"/>
      <c r="G171" s="27"/>
      <c r="H171" s="27"/>
      <c r="I171" s="27"/>
      <c r="J171" s="27"/>
    </row>
    <row r="172" spans="1:10">
      <c r="A172" s="27"/>
      <c r="B172" s="27"/>
      <c r="C172" s="27"/>
      <c r="D172" s="27"/>
      <c r="E172" s="27"/>
      <c r="F172" s="27"/>
      <c r="G172" s="27"/>
      <c r="H172" s="27"/>
      <c r="I172" s="27"/>
      <c r="J172" s="27"/>
    </row>
    <row r="173" spans="1:10">
      <c r="A173" s="27"/>
      <c r="B173" s="27"/>
      <c r="C173" s="27"/>
      <c r="D173" s="27"/>
      <c r="E173" s="27"/>
      <c r="F173" s="27"/>
      <c r="G173" s="27"/>
      <c r="H173" s="27"/>
      <c r="I173" s="27"/>
      <c r="J173" s="27"/>
    </row>
    <row r="174" spans="1:10">
      <c r="A174" s="27"/>
      <c r="B174" s="27"/>
      <c r="C174" s="27"/>
      <c r="D174" s="27"/>
      <c r="E174" s="27"/>
      <c r="F174" s="27"/>
      <c r="G174" s="27"/>
      <c r="H174" s="27"/>
      <c r="I174" s="27"/>
      <c r="J174" s="27"/>
    </row>
    <row r="175" spans="1:10">
      <c r="A175" s="27"/>
      <c r="B175" s="27"/>
      <c r="C175" s="27"/>
      <c r="D175" s="27"/>
      <c r="E175" s="27"/>
      <c r="F175" s="27"/>
      <c r="G175" s="27"/>
      <c r="H175" s="27"/>
      <c r="I175" s="27"/>
      <c r="J175" s="27"/>
    </row>
    <row r="176" spans="1:10">
      <c r="A176" s="27"/>
      <c r="B176" s="27"/>
      <c r="C176" s="27"/>
      <c r="D176" s="27"/>
      <c r="E176" s="27"/>
      <c r="F176" s="27"/>
      <c r="G176" s="27"/>
      <c r="H176" s="27"/>
      <c r="I176" s="27"/>
      <c r="J176" s="27"/>
    </row>
    <row r="177" spans="1:10">
      <c r="A177" s="27"/>
      <c r="B177" s="27"/>
      <c r="C177" s="27"/>
      <c r="D177" s="27"/>
      <c r="E177" s="27"/>
      <c r="F177" s="27"/>
      <c r="G177" s="27"/>
      <c r="H177" s="27"/>
      <c r="I177" s="27"/>
      <c r="J177" s="27"/>
    </row>
    <row r="178" spans="1:10">
      <c r="A178" s="27"/>
      <c r="B178" s="27"/>
      <c r="C178" s="27"/>
      <c r="D178" s="27"/>
      <c r="E178" s="27"/>
      <c r="F178" s="27"/>
      <c r="G178" s="27"/>
      <c r="H178" s="27"/>
      <c r="I178" s="27"/>
      <c r="J178" s="27"/>
    </row>
    <row r="179" spans="1:10">
      <c r="A179" s="27"/>
      <c r="B179" s="27"/>
      <c r="C179" s="27"/>
      <c r="D179" s="27"/>
      <c r="E179" s="27"/>
      <c r="F179" s="27"/>
      <c r="G179" s="27"/>
      <c r="H179" s="27"/>
      <c r="I179" s="27"/>
      <c r="J179" s="27"/>
    </row>
    <row r="180" spans="1:10">
      <c r="A180" s="27"/>
      <c r="B180" s="27"/>
      <c r="C180" s="27"/>
      <c r="D180" s="27"/>
      <c r="E180" s="27"/>
      <c r="F180" s="27"/>
      <c r="G180" s="27"/>
      <c r="H180" s="27"/>
      <c r="I180" s="27"/>
      <c r="J180" s="27"/>
    </row>
    <row r="181" spans="1:10">
      <c r="A181" s="27"/>
      <c r="B181" s="27"/>
      <c r="C181" s="27"/>
      <c r="D181" s="27"/>
      <c r="E181" s="27"/>
      <c r="F181" s="27"/>
      <c r="G181" s="27"/>
      <c r="H181" s="27"/>
      <c r="I181" s="27"/>
      <c r="J181" s="27"/>
    </row>
    <row r="182" spans="1:10">
      <c r="A182" s="27"/>
      <c r="B182" s="27"/>
      <c r="C182" s="27"/>
      <c r="D182" s="27"/>
      <c r="E182" s="27"/>
      <c r="F182" s="27"/>
      <c r="G182" s="27"/>
      <c r="H182" s="27"/>
      <c r="I182" s="27"/>
      <c r="J182" s="27"/>
    </row>
    <row r="183" spans="1:10">
      <c r="A183" s="27"/>
      <c r="B183" s="27"/>
      <c r="C183" s="27"/>
      <c r="D183" s="27"/>
      <c r="E183" s="27"/>
      <c r="F183" s="27"/>
      <c r="G183" s="27"/>
      <c r="H183" s="27"/>
      <c r="I183" s="27"/>
      <c r="J183" s="27"/>
    </row>
    <row r="184" spans="1:10">
      <c r="A184" s="27"/>
      <c r="B184" s="27"/>
      <c r="C184" s="27"/>
      <c r="D184" s="27"/>
      <c r="E184" s="27"/>
      <c r="F184" s="27"/>
      <c r="G184" s="27"/>
      <c r="H184" s="27"/>
      <c r="I184" s="27"/>
      <c r="J184" s="27"/>
    </row>
    <row r="185" spans="1:10">
      <c r="A185" s="27"/>
      <c r="B185" s="27"/>
      <c r="C185" s="27"/>
      <c r="D185" s="27"/>
      <c r="E185" s="27"/>
      <c r="F185" s="27"/>
      <c r="G185" s="27"/>
      <c r="H185" s="27"/>
      <c r="I185" s="27"/>
      <c r="J185" s="27"/>
    </row>
    <row r="186" spans="1:10">
      <c r="A186" s="27"/>
      <c r="B186" s="27"/>
      <c r="C186" s="27"/>
      <c r="D186" s="27"/>
      <c r="E186" s="27"/>
      <c r="F186" s="27"/>
      <c r="G186" s="27"/>
      <c r="H186" s="27"/>
      <c r="I186" s="27"/>
      <c r="J186" s="27"/>
    </row>
    <row r="187" spans="1:10">
      <c r="A187" s="27"/>
      <c r="B187" s="27"/>
      <c r="C187" s="27"/>
      <c r="D187" s="27"/>
      <c r="E187" s="27"/>
      <c r="F187" s="27"/>
      <c r="G187" s="27"/>
      <c r="H187" s="27"/>
      <c r="I187" s="27"/>
      <c r="J187" s="27"/>
    </row>
    <row r="188" spans="1:10">
      <c r="A188" s="27"/>
      <c r="B188" s="27"/>
      <c r="C188" s="27"/>
      <c r="D188" s="27"/>
      <c r="E188" s="27"/>
      <c r="F188" s="27"/>
      <c r="G188" s="27"/>
      <c r="H188" s="27"/>
      <c r="I188" s="27"/>
      <c r="J188" s="27"/>
    </row>
    <row r="189" spans="1:10">
      <c r="A189" s="27"/>
      <c r="B189" s="27"/>
      <c r="C189" s="27"/>
      <c r="D189" s="27"/>
      <c r="E189" s="27"/>
      <c r="F189" s="27"/>
      <c r="G189" s="27"/>
      <c r="H189" s="27"/>
      <c r="I189" s="27"/>
      <c r="J189" s="27"/>
    </row>
    <row r="190" spans="1:10">
      <c r="A190" s="27"/>
      <c r="B190" s="27"/>
      <c r="C190" s="27"/>
      <c r="D190" s="27"/>
      <c r="E190" s="27"/>
      <c r="F190" s="27"/>
      <c r="G190" s="27"/>
      <c r="H190" s="27"/>
      <c r="I190" s="27"/>
      <c r="J190" s="27"/>
    </row>
    <row r="191" spans="1:10">
      <c r="A191" s="27"/>
      <c r="B191" s="27"/>
      <c r="C191" s="27"/>
      <c r="D191" s="27"/>
      <c r="E191" s="27"/>
      <c r="F191" s="27"/>
      <c r="G191" s="27"/>
      <c r="H191" s="27"/>
      <c r="I191" s="27"/>
      <c r="J191" s="27"/>
    </row>
    <row r="192" spans="1:10">
      <c r="A192" s="27"/>
      <c r="B192" s="27"/>
      <c r="C192" s="27"/>
      <c r="D192" s="27"/>
      <c r="E192" s="27"/>
      <c r="F192" s="27"/>
      <c r="G192" s="27"/>
      <c r="H192" s="27"/>
      <c r="I192" s="27"/>
      <c r="J192" s="27"/>
    </row>
    <row r="193" spans="1:10">
      <c r="A193" s="27"/>
      <c r="B193" s="27"/>
      <c r="C193" s="27"/>
      <c r="D193" s="27"/>
      <c r="E193" s="27"/>
      <c r="F193" s="27"/>
      <c r="G193" s="27"/>
      <c r="H193" s="27"/>
      <c r="I193" s="27"/>
      <c r="J193" s="27"/>
    </row>
    <row r="194" spans="1:10">
      <c r="A194" s="27"/>
      <c r="B194" s="27"/>
      <c r="C194" s="27"/>
      <c r="D194" s="27"/>
      <c r="E194" s="27"/>
      <c r="F194" s="27"/>
      <c r="G194" s="27"/>
      <c r="H194" s="27"/>
      <c r="I194" s="27"/>
      <c r="J194" s="27"/>
    </row>
    <row r="195" spans="1:10">
      <c r="A195" s="27"/>
      <c r="B195" s="27"/>
      <c r="C195" s="27"/>
      <c r="D195" s="27"/>
      <c r="E195" s="27"/>
      <c r="F195" s="27"/>
      <c r="G195" s="27"/>
      <c r="H195" s="27"/>
      <c r="I195" s="27"/>
      <c r="J195" s="27"/>
    </row>
    <row r="196" spans="1:10">
      <c r="A196" s="27"/>
      <c r="B196" s="27"/>
      <c r="C196" s="27"/>
      <c r="D196" s="27"/>
      <c r="E196" s="27"/>
      <c r="F196" s="27"/>
      <c r="G196" s="27"/>
      <c r="H196" s="27"/>
      <c r="I196" s="27"/>
      <c r="J196" s="27"/>
    </row>
    <row r="197" spans="1:10">
      <c r="A197" s="27"/>
      <c r="B197" s="27"/>
      <c r="C197" s="27"/>
      <c r="D197" s="27"/>
      <c r="E197" s="27"/>
      <c r="F197" s="27"/>
      <c r="G197" s="27"/>
      <c r="H197" s="27"/>
      <c r="I197" s="27"/>
      <c r="J197" s="27"/>
    </row>
    <row r="198" spans="1:10">
      <c r="A198" s="27"/>
      <c r="B198" s="27"/>
      <c r="C198" s="27"/>
      <c r="D198" s="27"/>
      <c r="E198" s="27"/>
      <c r="F198" s="27"/>
      <c r="G198" s="27"/>
      <c r="H198" s="27"/>
      <c r="I198" s="27"/>
      <c r="J198" s="27"/>
    </row>
    <row r="199" spans="1:10">
      <c r="A199" s="27"/>
      <c r="B199" s="27"/>
      <c r="C199" s="27"/>
      <c r="D199" s="27"/>
      <c r="E199" s="27"/>
      <c r="F199" s="27"/>
      <c r="G199" s="27"/>
      <c r="H199" s="27"/>
      <c r="I199" s="27"/>
      <c r="J199" s="27"/>
    </row>
    <row r="200" spans="1:10">
      <c r="A200" s="27"/>
      <c r="B200" s="27"/>
      <c r="C200" s="27"/>
      <c r="D200" s="27"/>
      <c r="E200" s="27"/>
      <c r="F200" s="27"/>
      <c r="G200" s="27"/>
      <c r="H200" s="27"/>
      <c r="I200" s="27"/>
      <c r="J200" s="27"/>
    </row>
    <row r="201" spans="1:10">
      <c r="A201" s="27"/>
      <c r="B201" s="27"/>
      <c r="C201" s="27"/>
      <c r="D201" s="27"/>
      <c r="E201" s="27"/>
      <c r="F201" s="27"/>
      <c r="G201" s="27"/>
      <c r="H201" s="27"/>
      <c r="I201" s="27"/>
      <c r="J201" s="27"/>
    </row>
    <row r="202" spans="1:10">
      <c r="A202" s="27"/>
      <c r="B202" s="27"/>
      <c r="C202" s="27"/>
      <c r="D202" s="27"/>
      <c r="E202" s="27"/>
      <c r="F202" s="27"/>
      <c r="G202" s="27"/>
      <c r="H202" s="27"/>
      <c r="I202" s="27"/>
      <c r="J202" s="27"/>
    </row>
    <row r="203" spans="1:10">
      <c r="A203" s="27"/>
      <c r="B203" s="27"/>
      <c r="C203" s="27"/>
      <c r="D203" s="27"/>
      <c r="E203" s="27"/>
      <c r="F203" s="27"/>
      <c r="G203" s="27"/>
      <c r="H203" s="27"/>
      <c r="I203" s="27"/>
      <c r="J203" s="27"/>
    </row>
    <row r="204" spans="1:10">
      <c r="A204" s="27"/>
      <c r="B204" s="27"/>
      <c r="C204" s="27"/>
      <c r="D204" s="27"/>
      <c r="E204" s="27"/>
      <c r="F204" s="27"/>
      <c r="G204" s="27"/>
      <c r="H204" s="27"/>
      <c r="I204" s="27"/>
      <c r="J204" s="27"/>
    </row>
    <row r="205" spans="1:10">
      <c r="A205" s="27"/>
      <c r="B205" s="27"/>
      <c r="C205" s="27"/>
      <c r="D205" s="27"/>
      <c r="E205" s="27"/>
      <c r="F205" s="27"/>
      <c r="G205" s="27"/>
      <c r="H205" s="27"/>
      <c r="I205" s="27"/>
      <c r="J205" s="27"/>
    </row>
    <row r="206" spans="1:10">
      <c r="A206" s="27"/>
      <c r="B206" s="27"/>
      <c r="C206" s="27"/>
      <c r="D206" s="27"/>
      <c r="E206" s="27"/>
      <c r="F206" s="27"/>
      <c r="G206" s="27"/>
      <c r="H206" s="27"/>
      <c r="I206" s="27"/>
      <c r="J206" s="27"/>
    </row>
    <row r="207" spans="1:10">
      <c r="A207" s="27"/>
      <c r="B207" s="27"/>
      <c r="C207" s="27"/>
      <c r="D207" s="27"/>
      <c r="E207" s="27"/>
      <c r="F207" s="27"/>
      <c r="G207" s="27"/>
      <c r="H207" s="27"/>
      <c r="I207" s="27"/>
      <c r="J207" s="27"/>
    </row>
    <row r="208" spans="1:10">
      <c r="A208" s="27"/>
      <c r="B208" s="27"/>
      <c r="C208" s="27"/>
      <c r="D208" s="27"/>
      <c r="E208" s="27"/>
      <c r="F208" s="27"/>
      <c r="G208" s="27"/>
      <c r="H208" s="27"/>
      <c r="I208" s="27"/>
      <c r="J208" s="27"/>
    </row>
    <row r="209" spans="1:10">
      <c r="A209" s="27"/>
      <c r="B209" s="27"/>
      <c r="C209" s="27"/>
      <c r="D209" s="27"/>
      <c r="E209" s="27"/>
      <c r="F209" s="27"/>
      <c r="G209" s="27"/>
      <c r="H209" s="27"/>
      <c r="I209" s="27"/>
      <c r="J209" s="27"/>
    </row>
    <row r="210" spans="1:10">
      <c r="A210" s="27"/>
      <c r="B210" s="27"/>
      <c r="C210" s="27"/>
      <c r="D210" s="27"/>
      <c r="E210" s="27"/>
      <c r="F210" s="27"/>
      <c r="G210" s="27"/>
      <c r="H210" s="27"/>
      <c r="I210" s="27"/>
      <c r="J210" s="27"/>
    </row>
    <row r="211" spans="1:10">
      <c r="A211" s="27"/>
      <c r="B211" s="27"/>
      <c r="C211" s="27"/>
      <c r="D211" s="27"/>
      <c r="E211" s="27"/>
      <c r="F211" s="27"/>
      <c r="G211" s="27"/>
      <c r="H211" s="27"/>
      <c r="I211" s="27"/>
      <c r="J211" s="27"/>
    </row>
    <row r="212" spans="1:10">
      <c r="A212" s="27"/>
      <c r="B212" s="27"/>
      <c r="C212" s="27"/>
      <c r="D212" s="27"/>
      <c r="E212" s="27"/>
      <c r="F212" s="27"/>
      <c r="G212" s="27"/>
      <c r="H212" s="27"/>
      <c r="I212" s="27"/>
      <c r="J212" s="27"/>
    </row>
    <row r="213" spans="1:10">
      <c r="A213" s="27"/>
      <c r="B213" s="27"/>
      <c r="C213" s="27"/>
      <c r="D213" s="27"/>
      <c r="E213" s="27"/>
      <c r="F213" s="27"/>
      <c r="G213" s="27"/>
      <c r="H213" s="27"/>
      <c r="I213" s="27"/>
      <c r="J213" s="27"/>
    </row>
    <row r="214" spans="1:10">
      <c r="A214" s="27"/>
      <c r="B214" s="27"/>
      <c r="C214" s="27"/>
      <c r="D214" s="27"/>
      <c r="E214" s="27"/>
      <c r="F214" s="27"/>
      <c r="G214" s="27"/>
      <c r="H214" s="27"/>
      <c r="I214" s="27"/>
      <c r="J214" s="27"/>
    </row>
    <row r="215" spans="1:10">
      <c r="A215" s="27"/>
      <c r="B215" s="27"/>
      <c r="C215" s="27"/>
      <c r="D215" s="27"/>
      <c r="E215" s="27"/>
      <c r="F215" s="27"/>
      <c r="G215" s="27"/>
      <c r="H215" s="27"/>
      <c r="I215" s="27"/>
      <c r="J215" s="27"/>
    </row>
    <row r="216" spans="1:10">
      <c r="A216" s="27"/>
      <c r="B216" s="27"/>
      <c r="C216" s="27"/>
      <c r="D216" s="27"/>
      <c r="E216" s="27"/>
      <c r="F216" s="27"/>
      <c r="G216" s="27"/>
      <c r="H216" s="27"/>
      <c r="I216" s="27"/>
      <c r="J216" s="27"/>
    </row>
    <row r="217" spans="1:10">
      <c r="A217" s="27"/>
      <c r="B217" s="27"/>
      <c r="C217" s="27"/>
      <c r="D217" s="27"/>
      <c r="E217" s="27"/>
      <c r="F217" s="27"/>
      <c r="G217" s="27"/>
      <c r="H217" s="27"/>
      <c r="I217" s="27"/>
      <c r="J217" s="27"/>
    </row>
    <row r="218" spans="1:10">
      <c r="A218" s="27"/>
      <c r="B218" s="27"/>
      <c r="C218" s="27"/>
      <c r="D218" s="27"/>
      <c r="E218" s="27"/>
      <c r="F218" s="27"/>
      <c r="G218" s="27"/>
      <c r="H218" s="27"/>
      <c r="I218" s="27"/>
      <c r="J218" s="27"/>
    </row>
    <row r="219" spans="1:10">
      <c r="A219" s="27"/>
      <c r="B219" s="27"/>
      <c r="C219" s="27"/>
      <c r="D219" s="27"/>
      <c r="E219" s="27"/>
      <c r="F219" s="27"/>
      <c r="G219" s="27"/>
      <c r="H219" s="27"/>
      <c r="I219" s="27"/>
      <c r="J219" s="27"/>
    </row>
    <row r="220" spans="1:10">
      <c r="A220" s="27"/>
      <c r="B220" s="27"/>
      <c r="C220" s="27"/>
      <c r="D220" s="27"/>
      <c r="E220" s="27"/>
      <c r="F220" s="27"/>
      <c r="G220" s="27"/>
      <c r="H220" s="27"/>
      <c r="I220" s="27"/>
      <c r="J220" s="27"/>
    </row>
  </sheetData>
  <mergeCells count="223">
    <mergeCell ref="I141:I145"/>
    <mergeCell ref="A141:A145"/>
    <mergeCell ref="B141:B145"/>
    <mergeCell ref="C141:C145"/>
    <mergeCell ref="D141:D145"/>
    <mergeCell ref="E141:E145"/>
    <mergeCell ref="F141:F145"/>
    <mergeCell ref="A136:A140"/>
    <mergeCell ref="B136:B140"/>
    <mergeCell ref="C136:C140"/>
    <mergeCell ref="D136:D140"/>
    <mergeCell ref="E136:E140"/>
    <mergeCell ref="F136:F140"/>
    <mergeCell ref="A130:A135"/>
    <mergeCell ref="B130:B135"/>
    <mergeCell ref="C130:C135"/>
    <mergeCell ref="D130:D135"/>
    <mergeCell ref="E130:E135"/>
    <mergeCell ref="F130:F135"/>
    <mergeCell ref="A128:A129"/>
    <mergeCell ref="B128:B129"/>
    <mergeCell ref="C128:C129"/>
    <mergeCell ref="D128:D129"/>
    <mergeCell ref="F128:F129"/>
    <mergeCell ref="I128:I129"/>
    <mergeCell ref="A123:A125"/>
    <mergeCell ref="B123:B125"/>
    <mergeCell ref="C123:C125"/>
    <mergeCell ref="D123:D125"/>
    <mergeCell ref="F123:F125"/>
    <mergeCell ref="A126:A127"/>
    <mergeCell ref="B126:B127"/>
    <mergeCell ref="C126:C127"/>
    <mergeCell ref="D126:D127"/>
    <mergeCell ref="F126:F127"/>
    <mergeCell ref="I112:I118"/>
    <mergeCell ref="A120:A122"/>
    <mergeCell ref="B120:B122"/>
    <mergeCell ref="C120:C122"/>
    <mergeCell ref="D120:D122"/>
    <mergeCell ref="F120:F122"/>
    <mergeCell ref="A112:A118"/>
    <mergeCell ref="B112:B118"/>
    <mergeCell ref="C112:C118"/>
    <mergeCell ref="D112:D118"/>
    <mergeCell ref="E112:E118"/>
    <mergeCell ref="F112:F118"/>
    <mergeCell ref="I96:I98"/>
    <mergeCell ref="A102:A109"/>
    <mergeCell ref="B102:B109"/>
    <mergeCell ref="C102:C109"/>
    <mergeCell ref="D102:D109"/>
    <mergeCell ref="E102:E109"/>
    <mergeCell ref="F102:F109"/>
    <mergeCell ref="I103:I109"/>
    <mergeCell ref="A96:A98"/>
    <mergeCell ref="B96:B98"/>
    <mergeCell ref="C96:C98"/>
    <mergeCell ref="D96:D98"/>
    <mergeCell ref="E96:E98"/>
    <mergeCell ref="F96:F98"/>
    <mergeCell ref="K91:K92"/>
    <mergeCell ref="A94:A95"/>
    <mergeCell ref="B94:B95"/>
    <mergeCell ref="C94:C95"/>
    <mergeCell ref="D94:D95"/>
    <mergeCell ref="E94:E95"/>
    <mergeCell ref="F94:F95"/>
    <mergeCell ref="I94:I95"/>
    <mergeCell ref="I85:I88"/>
    <mergeCell ref="A89:A92"/>
    <mergeCell ref="B89:B92"/>
    <mergeCell ref="C89:C92"/>
    <mergeCell ref="D89:D92"/>
    <mergeCell ref="E89:E92"/>
    <mergeCell ref="F89:F92"/>
    <mergeCell ref="I89:I92"/>
    <mergeCell ref="A85:A88"/>
    <mergeCell ref="B85:B88"/>
    <mergeCell ref="C85:C88"/>
    <mergeCell ref="D85:D88"/>
    <mergeCell ref="E85:E88"/>
    <mergeCell ref="F85:F88"/>
    <mergeCell ref="I76:I77"/>
    <mergeCell ref="A82:A84"/>
    <mergeCell ref="B82:B84"/>
    <mergeCell ref="C82:C84"/>
    <mergeCell ref="D82:D84"/>
    <mergeCell ref="E82:E84"/>
    <mergeCell ref="F82:F84"/>
    <mergeCell ref="I83:I84"/>
    <mergeCell ref="A76:A77"/>
    <mergeCell ref="B76:B77"/>
    <mergeCell ref="C76:C77"/>
    <mergeCell ref="D76:D77"/>
    <mergeCell ref="E76:E77"/>
    <mergeCell ref="F76:F77"/>
    <mergeCell ref="K71:K72"/>
    <mergeCell ref="A74:A75"/>
    <mergeCell ref="B74:B75"/>
    <mergeCell ref="C74:C75"/>
    <mergeCell ref="D74:D75"/>
    <mergeCell ref="E74:E75"/>
    <mergeCell ref="F74:F75"/>
    <mergeCell ref="I74:I75"/>
    <mergeCell ref="I66:I69"/>
    <mergeCell ref="A71:A72"/>
    <mergeCell ref="B71:B72"/>
    <mergeCell ref="C71:C72"/>
    <mergeCell ref="D71:D72"/>
    <mergeCell ref="E71:E72"/>
    <mergeCell ref="F71:F72"/>
    <mergeCell ref="I71:I72"/>
    <mergeCell ref="A66:A69"/>
    <mergeCell ref="B66:B69"/>
    <mergeCell ref="C66:C69"/>
    <mergeCell ref="D66:D69"/>
    <mergeCell ref="E66:E69"/>
    <mergeCell ref="F66:F69"/>
    <mergeCell ref="A52:A53"/>
    <mergeCell ref="B52:B53"/>
    <mergeCell ref="C52:C53"/>
    <mergeCell ref="D52:D53"/>
    <mergeCell ref="E52:E53"/>
    <mergeCell ref="F52:F53"/>
    <mergeCell ref="I52:I53"/>
    <mergeCell ref="I55:I57"/>
    <mergeCell ref="A59:A65"/>
    <mergeCell ref="B59:B65"/>
    <mergeCell ref="C59:C65"/>
    <mergeCell ref="D59:D65"/>
    <mergeCell ref="E59:E65"/>
    <mergeCell ref="F59:F65"/>
    <mergeCell ref="I59:I65"/>
    <mergeCell ref="A55:A57"/>
    <mergeCell ref="B55:B57"/>
    <mergeCell ref="C55:C57"/>
    <mergeCell ref="D55:D57"/>
    <mergeCell ref="E55:E57"/>
    <mergeCell ref="F55:F57"/>
    <mergeCell ref="I27:I34"/>
    <mergeCell ref="J27:J34"/>
    <mergeCell ref="E35:E42"/>
    <mergeCell ref="I35:I42"/>
    <mergeCell ref="J35:J42"/>
    <mergeCell ref="A43:A50"/>
    <mergeCell ref="B43:B50"/>
    <mergeCell ref="C43:C50"/>
    <mergeCell ref="D43:D50"/>
    <mergeCell ref="E43:E50"/>
    <mergeCell ref="A27:A42"/>
    <mergeCell ref="B27:B42"/>
    <mergeCell ref="C27:C42"/>
    <mergeCell ref="D27:D42"/>
    <mergeCell ref="E27:E34"/>
    <mergeCell ref="F27:F42"/>
    <mergeCell ref="F43:F50"/>
    <mergeCell ref="I43:I50"/>
    <mergeCell ref="J43:J50"/>
    <mergeCell ref="I21:I22"/>
    <mergeCell ref="J21:J22"/>
    <mergeCell ref="A23:A26"/>
    <mergeCell ref="B23:B26"/>
    <mergeCell ref="C23:C26"/>
    <mergeCell ref="D23:D26"/>
    <mergeCell ref="E23:E26"/>
    <mergeCell ref="F23:F26"/>
    <mergeCell ref="I23:I26"/>
    <mergeCell ref="J23:J26"/>
    <mergeCell ref="A21:A22"/>
    <mergeCell ref="B21:B22"/>
    <mergeCell ref="C21:C22"/>
    <mergeCell ref="D21:D22"/>
    <mergeCell ref="E21:E22"/>
    <mergeCell ref="F21:F22"/>
    <mergeCell ref="I17:I18"/>
    <mergeCell ref="J17:J18"/>
    <mergeCell ref="A19:A20"/>
    <mergeCell ref="B19:B20"/>
    <mergeCell ref="C19:C20"/>
    <mergeCell ref="D19:D20"/>
    <mergeCell ref="E19:E20"/>
    <mergeCell ref="F19:F20"/>
    <mergeCell ref="I19:I20"/>
    <mergeCell ref="J19:J20"/>
    <mergeCell ref="A17:A18"/>
    <mergeCell ref="B17:B18"/>
    <mergeCell ref="C17:C18"/>
    <mergeCell ref="D17:D18"/>
    <mergeCell ref="E17:E18"/>
    <mergeCell ref="F17:F18"/>
    <mergeCell ref="I11:I14"/>
    <mergeCell ref="J11:J14"/>
    <mergeCell ref="A15:A16"/>
    <mergeCell ref="B15:B16"/>
    <mergeCell ref="C15:C16"/>
    <mergeCell ref="D15:D16"/>
    <mergeCell ref="E15:E16"/>
    <mergeCell ref="F15:F16"/>
    <mergeCell ref="I15:I16"/>
    <mergeCell ref="J15:J16"/>
    <mergeCell ref="A11:A14"/>
    <mergeCell ref="B11:B14"/>
    <mergeCell ref="C11:C14"/>
    <mergeCell ref="D11:D14"/>
    <mergeCell ref="E11:E14"/>
    <mergeCell ref="F11:F14"/>
    <mergeCell ref="I2:I4"/>
    <mergeCell ref="J2:J4"/>
    <mergeCell ref="A6:A10"/>
    <mergeCell ref="B6:B10"/>
    <mergeCell ref="C6:C10"/>
    <mergeCell ref="D6:D10"/>
    <mergeCell ref="E6:E10"/>
    <mergeCell ref="F6:F10"/>
    <mergeCell ref="I6:I10"/>
    <mergeCell ref="J6:J10"/>
    <mergeCell ref="A2:A4"/>
    <mergeCell ref="B2:B4"/>
    <mergeCell ref="C2:C4"/>
    <mergeCell ref="D2:D4"/>
    <mergeCell ref="E2:E4"/>
    <mergeCell ref="F2:F4"/>
  </mergeCells>
  <phoneticPr fontId="1" type="noConversion"/>
  <conditionalFormatting sqref="A1:E26 A43:E50 E35:E42 G35:K50 G1:K26">
    <cfRule type="containsText" dxfId="17" priority="18" operator="containsText" text="TBD">
      <formula>NOT(ISERROR(SEARCH("TBD",A1)))</formula>
    </cfRule>
  </conditionalFormatting>
  <conditionalFormatting sqref="A27:E27 B28:E34 G27:K34">
    <cfRule type="containsText" dxfId="16" priority="17" operator="containsText" text="TBD">
      <formula>NOT(ISERROR(SEARCH("TBD",A27)))</formula>
    </cfRule>
  </conditionalFormatting>
  <conditionalFormatting sqref="F2:F26 F43:F50">
    <cfRule type="containsText" dxfId="15" priority="16" operator="containsText" text="TBD">
      <formula>NOT(ISERROR(SEARCH("TBD",F2)))</formula>
    </cfRule>
  </conditionalFormatting>
  <conditionalFormatting sqref="F27">
    <cfRule type="containsText" dxfId="14" priority="15" operator="containsText" text="TBD">
      <formula>NOT(ISERROR(SEARCH("TBD",F27)))</formula>
    </cfRule>
  </conditionalFormatting>
  <conditionalFormatting sqref="F1">
    <cfRule type="containsText" dxfId="13" priority="14" operator="containsText" text="TBD">
      <formula>NOT(ISERROR(SEARCH("TBD",F1)))</formula>
    </cfRule>
  </conditionalFormatting>
  <conditionalFormatting sqref="A51:E69 G51:K69">
    <cfRule type="containsText" dxfId="12" priority="13" operator="containsText" text="TBD">
      <formula>NOT(ISERROR(SEARCH("TBD",A51)))</formula>
    </cfRule>
  </conditionalFormatting>
  <conditionalFormatting sqref="F52:F69">
    <cfRule type="containsText" dxfId="11" priority="12" operator="containsText" text="TBD">
      <formula>NOT(ISERROR(SEARCH("TBD",F52)))</formula>
    </cfRule>
  </conditionalFormatting>
  <conditionalFormatting sqref="F51">
    <cfRule type="containsText" dxfId="10" priority="11" operator="containsText" text="TBD">
      <formula>NOT(ISERROR(SEARCH("TBD",F51)))</formula>
    </cfRule>
  </conditionalFormatting>
  <conditionalFormatting sqref="A70:E92 G70:K92">
    <cfRule type="containsText" dxfId="9" priority="10" operator="containsText" text="TBD">
      <formula>NOT(ISERROR(SEARCH("TBD",A70)))</formula>
    </cfRule>
  </conditionalFormatting>
  <conditionalFormatting sqref="F71:F92">
    <cfRule type="containsText" dxfId="8" priority="9" operator="containsText" text="TBD">
      <formula>NOT(ISERROR(SEARCH("TBD",F71)))</formula>
    </cfRule>
  </conditionalFormatting>
  <conditionalFormatting sqref="F70">
    <cfRule type="containsText" dxfId="7" priority="8" operator="containsText" text="TBD">
      <formula>NOT(ISERROR(SEARCH("TBD",F70)))</formula>
    </cfRule>
  </conditionalFormatting>
  <conditionalFormatting sqref="A93:E118 G93:K118">
    <cfRule type="containsText" dxfId="6" priority="7" operator="containsText" text="TBD">
      <formula>NOT(ISERROR(SEARCH("TBD",A93)))</formula>
    </cfRule>
  </conditionalFormatting>
  <conditionalFormatting sqref="F94:F118">
    <cfRule type="containsText" dxfId="5" priority="6" operator="containsText" text="TBD">
      <formula>NOT(ISERROR(SEARCH("TBD",F94)))</formula>
    </cfRule>
  </conditionalFormatting>
  <conditionalFormatting sqref="F93">
    <cfRule type="containsText" dxfId="4" priority="5" operator="containsText" text="TBD">
      <formula>NOT(ISERROR(SEARCH("TBD",F93)))</formula>
    </cfRule>
  </conditionalFormatting>
  <conditionalFormatting sqref="A119:E145 G119:K145">
    <cfRule type="containsText" dxfId="3" priority="4" operator="containsText" text="TBD">
      <formula>NOT(ISERROR(SEARCH("TBD",A119)))</formula>
    </cfRule>
  </conditionalFormatting>
  <conditionalFormatting sqref="F120 F126:F145">
    <cfRule type="containsText" dxfId="2" priority="3" operator="containsText" text="TBD">
      <formula>NOT(ISERROR(SEARCH("TBD",F120)))</formula>
    </cfRule>
  </conditionalFormatting>
  <conditionalFormatting sqref="F119">
    <cfRule type="containsText" dxfId="1" priority="2" operator="containsText" text="TBD">
      <formula>NOT(ISERROR(SEARCH("TBD",F119)))</formula>
    </cfRule>
  </conditionalFormatting>
  <conditionalFormatting sqref="F123">
    <cfRule type="containsText" dxfId="0" priority="1" operator="containsText" text="TBD">
      <formula>NOT(ISERROR(SEARCH("TBD",F123)))</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Test Releases</vt:lpstr>
      <vt:lpstr>Test Runs</vt:lpstr>
      <vt:lpstr>Test Cases</vt:lpstr>
      <vt:lpstr>Test Configs</vt:lpstr>
      <vt:lpstr>Connectivity Room Routers</vt:lpstr>
      <vt:lpstr>Test Configs (2)</vt:lpstr>
      <vt:lpstr>Test Cases (2)</vt:lpstr>
      <vt:lpstr>Test Runs (2)</vt:lpstr>
      <vt:lpstr>Test Releases (2)</vt:lpstr>
      <vt:lpstr>Test Report</vt:lpstr>
      <vt:lpstr>Connectivity Room Routers (2)</vt:lpstr>
      <vt:lpstr>테스트 환경</vt:lpstr>
      <vt:lpstr>TRACE ID</vt:lpstr>
      <vt:lpstr>HRK 테스트</vt:lpstr>
      <vt:lpstr>HLM 테스트</vt:lpstr>
      <vt:lpstr>HTR 테스트</vt:lpstr>
      <vt:lpstr>HDR 테스트</vt:lpstr>
      <vt:lpstr>HDC 테스트</vt:lpstr>
      <vt:lpstr>Test Case 식별 all in one,origin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2026-04-30T07:43:20Z</dcterms:created>
  <dcterms:modified xsi:type="dcterms:W3CDTF">2026-05-07T13:42:04Z</dcterms:modified>
</cp:coreProperties>
</file>