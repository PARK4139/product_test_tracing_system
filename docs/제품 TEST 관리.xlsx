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03D25D89-2F6F-498E-A21D-AB83F2DECA46}" xr6:coauthVersionLast="47" xr6:coauthVersionMax="47" xr10:uidLastSave="{00000000-0000-0000-0000-000000000000}"/>
  <bookViews>
    <workbookView xWindow="-110" yWindow="-110" windowWidth="25820" windowHeight="15500" activeTab="3" xr2:uid="{421B0B10-1399-475F-B14E-2C2D39CF6739}"/>
  </bookViews>
  <sheets>
    <sheet name="Test Config ID 관리" sheetId="1" r:id="rId1"/>
    <sheet name="테스트 환경" sheetId="9" state="hidden" r:id="rId2"/>
    <sheet name="TRACE ID" sheetId="10" r:id="rId3"/>
    <sheet name="HRK" sheetId="3" r:id="rId4"/>
    <sheet name="HLM" sheetId="4" r:id="rId5"/>
    <sheet name="HTR" sheetId="5" r:id="rId6"/>
    <sheet name="HDR" sheetId="6" r:id="rId7"/>
    <sheet name="HDC" sheetId="7" r:id="rId8"/>
    <sheet name="문제점 관리"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 i="4" l="1"/>
  <c r="F2" i="5"/>
  <c r="F2" i="6"/>
  <c r="F2" i="7"/>
  <c r="F2" i="3"/>
</calcChain>
</file>

<file path=xl/sharedStrings.xml><?xml version="1.0" encoding="utf-8"?>
<sst xmlns="http://schemas.openxmlformats.org/spreadsheetml/2006/main" count="976" uniqueCount="446">
  <si>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</si>
  <si>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</si>
  <si>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</si>
  <si>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</si>
  <si>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</si>
  <si>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</si>
  <si>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</si>
  <si>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</si>
  <si>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</si>
  <si>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</si>
  <si>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</si>
  <si>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</si>
  <si>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</si>
  <si>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</si>
  <si>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</si>
  <si>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</si>
  <si>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</si>
  <si>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</si>
  <si>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</si>
  <si>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</si>
  <si>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</si>
  <si>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</si>
  <si>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</si>
  <si>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</si>
  <si>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</si>
  <si>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</si>
  <si>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</si>
  <si>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</si>
  <si>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</si>
  <si>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</si>
  <si>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</si>
  <si>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</si>
  <si>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</si>
  <si>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</si>
  <si>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</si>
  <si>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</si>
  <si>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</si>
  <si>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</si>
  <si>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</si>
  <si>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</si>
  <si>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</si>
  <si>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</si>
  <si>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</si>
  <si>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</si>
  <si>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</si>
  <si>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</si>
  <si>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</si>
  <si>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</si>
  <si>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</si>
  <si>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</si>
  <si>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</si>
  <si>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</si>
  <si>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</si>
  <si>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</si>
  <si>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</si>
  <si>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</si>
  <si>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</si>
  <si>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</si>
  <si>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</si>
  <si>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</si>
  <si>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</si>
  <si>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</si>
  <si>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</si>
  <si>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</si>
  <si>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</si>
  <si>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</si>
  <si>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</si>
  <si>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</si>
  <si>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</si>
  <si>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</si>
  <si>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</si>
  <si>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</si>
  <si>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</si>
  <si>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</si>
  <si>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</si>
  <si>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</si>
  <si>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</si>
  <si>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</si>
  <si>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</si>
  <si>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</si>
  <si>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</si>
  <si>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</si>
  <si>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</si>
  <si>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</si>
  <si>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</si>
  <si>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</si>
  <si>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</si>
  <si>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</si>
  <si>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</si>
  <si>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</si>
  <si>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</si>
  <si>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</si>
  <si>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</si>
  <si>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</si>
  <si>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</si>
  <si>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</si>
  <si>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</si>
  <si>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</si>
  <si>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</si>
  <si>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</si>
  <si>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</si>
  <si>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</si>
  <si>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</si>
  <si>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</si>
  <si>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</si>
  <si>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</si>
  <si>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</si>
  <si>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</si>
  <si>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</si>
  <si>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</si>
  <si>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</si>
  <si>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</si>
  <si>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</si>
  <si>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</si>
  <si>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</si>
  <si>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</si>
  <si>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</si>
  <si>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</si>
  <si>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</si>
  <si>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</si>
  <si>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</si>
  <si>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</si>
  <si>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</si>
  <si>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</si>
  <si>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</si>
  <si>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</si>
  <si>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</si>
  <si>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</si>
  <si>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</si>
  <si>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</si>
  <si>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</si>
  <si>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</si>
  <si>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</si>
  <si>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</si>
  <si>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</si>
  <si>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</si>
  <si>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</si>
  <si>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</si>
  <si>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</si>
  <si>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</si>
  <si>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</si>
  <si>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</si>
  <si>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</si>
  <si>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</si>
  <si>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</si>
  <si>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</si>
  <si>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</si>
  <si>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</si>
  <si>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</si>
  <si>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</si>
  <si>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</si>
  <si>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</si>
  <si>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</si>
  <si>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</si>
  <si>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</si>
  <si>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</si>
  <si>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</si>
  <si>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</si>
  <si>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</si>
  <si>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</si>
  <si>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</si>
  <si>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</si>
  <si>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</si>
  <si>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</si>
  <si>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</si>
  <si>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</si>
  <si>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</si>
  <si>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</si>
  <si>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</si>
  <si>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</si>
  <si>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</si>
  <si>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</si>
  <si>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</si>
  <si>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</si>
  <si>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</si>
  <si>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</si>
  <si>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</si>
  <si>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</si>
  <si>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</si>
  <si>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</si>
  <si>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</si>
  <si>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</si>
  <si>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</si>
  <si>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</si>
  <si>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</si>
  <si>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</si>
  <si>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</si>
  <si>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</si>
  <si>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</si>
  <si>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</si>
  <si>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</si>
  <si>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</si>
  <si>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</si>
  <si>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</si>
  <si>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</si>
  <si>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</si>
  <si>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</si>
  <si>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</si>
  <si>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</si>
  <si>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</si>
  <si>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</si>
  <si>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</si>
  <si>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</si>
  <si>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</si>
  <si>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</si>
  <si>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</si>
  <si>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</si>
  <si>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</si>
  <si>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</si>
  <si>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</si>
  <si>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</si>
  <si>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</si>
  <si>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</si>
  <si>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</si>
  <si>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</si>
  <si>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</si>
  <si>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</si>
  <si>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</si>
  <si>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</si>
  <si>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</si>
  <si>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</si>
  <si>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</si>
  <si>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</si>
  <si>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</si>
  <si>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</si>
  <si>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</si>
  <si>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</si>
  <si>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</si>
  <si>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</si>
  <si>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</si>
  <si>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</si>
  <si>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</si>
  <si>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</si>
  <si>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</si>
  <si>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</si>
  <si>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</si>
  <si>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</si>
  <si>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</si>
  <si>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</si>
  <si>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</si>
  <si>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</si>
  <si>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</si>
  <si>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</si>
  <si>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</si>
  <si>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</si>
  <si>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</si>
  <si>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</si>
  <si>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</si>
  <si>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</si>
  <si>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</si>
  <si>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</si>
  <si>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</si>
  <si>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</si>
  <si>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</si>
  <si>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</si>
  <si>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</si>
  <si>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</si>
  <si>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</si>
  <si>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</si>
  <si>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</si>
  <si>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</si>
  <si>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</si>
  <si>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</si>
  <si>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</si>
  <si>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</si>
  <si>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</si>
  <si>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</si>
  <si>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</si>
  <si>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</si>
  <si>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</si>
  <si>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</si>
  <si>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</si>
  <si>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</si>
  <si>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</si>
  <si>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</si>
  <si>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</si>
  <si>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</si>
  <si>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</si>
  <si>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</si>
  <si>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</si>
  <si>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</si>
  <si>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</si>
  <si>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</si>
  <si>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</si>
  <si>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</si>
  <si>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</si>
  <si>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</si>
  <si>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</si>
  <si>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</si>
  <si>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</si>
  <si>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</si>
  <si>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</si>
  <si>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</si>
  <si>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</si>
  <si>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</si>
  <si>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</si>
  <si>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</si>
  <si>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</si>
  <si>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</si>
  <si>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</si>
  <si>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</si>
  <si>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</si>
  <si>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</si>
  <si>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</si>
  <si>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</si>
  <si>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</si>
  <si>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</si>
  <si>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</si>
  <si>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</si>
  <si>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</si>
  <si>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</si>
  <si>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</si>
  <si>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</si>
  <si>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</si>
  <si>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</si>
  <si>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</si>
  <si>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</si>
  <si>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</si>
  <si>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</si>
  <si>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</si>
  <si>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</si>
  <si>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</si>
  <si>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</si>
  <si>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</si>
  <si>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</si>
  <si>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</si>
  <si>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</si>
  <si>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</si>
  <si>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</si>
  <si>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</si>
  <si>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</si>
  <si>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</si>
  <si>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</si>
  <si>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</si>
  <si>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</si>
  <si>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</si>
  <si>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</si>
  <si>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</si>
  <si>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</si>
  <si>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</si>
  <si>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</si>
  <si>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</si>
  <si>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</si>
  <si>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</si>
  <si>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</si>
  <si>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</si>
  <si>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</si>
  <si>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</si>
  <si>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</si>
  <si>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</si>
  <si>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</si>
  <si>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</si>
  <si>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</si>
  <si>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</si>
  <si>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</si>
  <si>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</si>
  <si>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</si>
  <si>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</si>
  <si>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</si>
  <si>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</si>
  <si>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</si>
  <si>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</si>
  <si>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</si>
  <si>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</si>
  <si>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</si>
  <si>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</si>
  <si>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</si>
  <si>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</si>
  <si>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</si>
  <si>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Questions</t>
    <phoneticPr fontId="1" type="noConversion"/>
  </si>
  <si>
    <t>http://{router_ip}
http://192.168.0.1
또는
http://192.168.1.1
공유기 하단 라벨 참고</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</si>
  <si>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</si>
  <si>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</si>
  <si>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</si>
  <si>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</si>
  <si>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</si>
  <si>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</si>
  <si>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</si>
  <si>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</si>
  <si>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</si>
  <si>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</si>
  <si>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</si>
  <si>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</si>
  <si>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</si>
  <si>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</si>
  <si>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</si>
  <si>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</si>
  <si>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</si>
  <si>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</si>
  <si>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</si>
  <si>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</si>
  <si>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</si>
  <si>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</si>
  <si>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</si>
  <si>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</si>
  <si>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</si>
  <si>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</si>
  <si>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테스트대상 구성 (장비 대수, Serial Number, S/W Version): 
- HRK-9000A (1대, 9HA09A24I0014, 1.01.01A)
테스트환경 구성 : 
- AP(2.4GHz Band) 1대</t>
  </si>
  <si>
    <t>테스트대상 구성 (장비 대수, Serial Number, S/W Version): 
- HRK-9000A (1대, 9HA09A24I0014, 1.01.01A)
테스트환경 구성 : 
- AP(2.4GHz Band)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</si>
  <si>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</si>
  <si>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</si>
  <si>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</si>
  <si>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</si>
  <si>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</si>
  <si>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</si>
  <si>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</si>
  <si>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</si>
  <si>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테스트대상</t>
    <phoneticPr fontId="1" type="noConversion"/>
  </si>
  <si>
    <t>테스트환경</t>
    <phoneticPr fontId="1" type="noConversion"/>
  </si>
  <si>
    <t>S/W Version(key_seg3)</t>
    <phoneticPr fontId="1" type="noConversion"/>
  </si>
  <si>
    <t>CONFIG-100</t>
    <phoneticPr fontId="1" type="noConversion"/>
  </si>
  <si>
    <t>Division</t>
    <phoneticPr fontId="1" type="noConversion"/>
  </si>
  <si>
    <t>STR(Steps To Reproduce)</t>
  </si>
  <si>
    <t>STR Completion Criteria</t>
    <phoneticPr fontId="1" type="noConversion"/>
  </si>
  <si>
    <t>Firmware version(key_seg4)</t>
    <phoneticPr fontId="1" type="noConversion"/>
  </si>
  <si>
    <t>제조사</t>
    <phoneticPr fontId="1" type="noConversion"/>
  </si>
  <si>
    <t>MR30G</t>
    <phoneticPr fontId="1" type="noConversion"/>
  </si>
  <si>
    <t>Huvitz</t>
    <phoneticPr fontId="1" type="noConversion"/>
  </si>
  <si>
    <t>제품표기확인(모델명, 일련번호)</t>
  </si>
  <si>
    <t>sub-data ex&gt; Serial Number(key_seg2)</t>
    <phoneticPr fontId="1" type="noConversion"/>
  </si>
  <si>
    <t>main-data ex&gt; Model Code(key_seg1)</t>
    <phoneticPr fontId="1" type="noConversion"/>
  </si>
  <si>
    <t>Actual Result</t>
  </si>
  <si>
    <t>Test Config</t>
    <phoneticPr fontId="1" type="noConversion"/>
  </si>
  <si>
    <t>Test Config 식별성 데이터</t>
    <phoneticPr fontId="1" type="noConversion"/>
  </si>
  <si>
    <t>Test Config 재현성 데이터</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</si>
  <si>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</si>
  <si>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</si>
  <si>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</si>
  <si>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</si>
  <si>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</si>
  <si>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</si>
  <si>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</si>
  <si>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</si>
  <si>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</si>
  <si>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 xml:space="preserve">Study </t>
    <phoneticPr fontId="1" type="noConversion"/>
  </si>
  <si>
    <t>HTR(TBD)</t>
    <phoneticPr fontId="1" type="noConversion"/>
  </si>
  <si>
    <t>TBD
2.4GHz : xxxxx  (_2_4G 접미사 붙이면 명시적)
5GHz : xxxxx_5G</t>
    <phoneticPr fontId="1" type="noConversion"/>
  </si>
  <si>
    <t>Examples to Avoid in STR</t>
    <phoneticPr fontId="1" type="noConversion"/>
  </si>
  <si>
    <t>Smart Connect: On
or
Band Steering: On</t>
    <phoneticPr fontId="1" type="noConversion"/>
  </si>
  <si>
    <t>Smart Connect: Off
or
Band Steering: Off
SSID 분리표기확인</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</si>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</sst>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2">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9900"/>
      <name val="Malgun Gothic"/>
      <family val="3"/>
      <charset val="129"/>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2">
    <xf numFmtId="0" fontId="0" fillId="0" borderId="0">
      <alignment vertical="center"/>
    </xf>
    <xf numFmtId="0" fontId="9" fillId="5" borderId="0" applyNumberFormat="0" applyBorder="0" applyAlignment="0" applyProtection="0">
      <alignment vertical="center"/>
    </xf>
  </cellStyleXfs>
  <cellXfs count="51">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6" fillId="0" borderId="4" xfId="0" applyFont="1" applyBorder="1" applyAlignment="1">
      <alignment vertical="center" wrapText="1"/>
    </xf>
    <xf numFmtId="0" fontId="5" fillId="0" borderId="4" xfId="0" applyFont="1" applyBorder="1" applyAlignment="1">
      <alignment wrapText="1"/>
    </xf>
    <xf numFmtId="0" fontId="3" fillId="0" borderId="4" xfId="0" applyFont="1" applyBorder="1" applyAlignment="1">
      <alignment wrapText="1"/>
    </xf>
    <xf numFmtId="0" fontId="7" fillId="0" borderId="4" xfId="0" applyFont="1" applyBorder="1" applyAlignment="1">
      <alignment wrapText="1"/>
    </xf>
    <xf numFmtId="0" fontId="2" fillId="4" borderId="1" xfId="0" applyFont="1" applyFill="1" applyBorder="1" applyAlignment="1">
      <alignment horizontal="center" vertical="center" wrapText="1"/>
    </xf>
    <xf numFmtId="0" fontId="2" fillId="4" borderId="2" xfId="0" applyFont="1" applyFill="1" applyBorder="1" applyAlignment="1">
      <alignment horizontal="center" vertical="center" wrapText="1"/>
    </xf>
    <xf numFmtId="176" fontId="3" fillId="0" borderId="3" xfId="0" applyNumberFormat="1" applyFont="1" applyBorder="1" applyAlignment="1">
      <alignment horizontal="center" vertical="center" wrapText="1"/>
    </xf>
    <xf numFmtId="0" fontId="0" fillId="0" borderId="8" xfId="0" applyBorder="1">
      <alignment vertical="center"/>
    </xf>
    <xf numFmtId="0" fontId="0" fillId="0" borderId="8" xfId="0" applyFill="1" applyBorder="1">
      <alignment vertical="center"/>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8" fillId="0" borderId="8" xfId="0" applyFont="1" applyBorder="1" applyAlignment="1">
      <alignment vertical="center" wrapText="1"/>
    </xf>
    <xf numFmtId="0" fontId="2" fillId="2" borderId="8" xfId="0" applyFont="1" applyFill="1" applyBorder="1" applyAlignment="1">
      <alignment horizontal="center" vertical="center" wrapText="1"/>
    </xf>
    <xf numFmtId="0" fontId="8" fillId="0" borderId="8" xfId="0" applyFont="1" applyBorder="1" applyAlignment="1">
      <alignment horizontal="center" vertical="center"/>
    </xf>
    <xf numFmtId="0" fontId="10" fillId="0" borderId="8" xfId="0" applyFont="1" applyBorder="1" applyAlignment="1">
      <alignment vertical="center" wrapText="1"/>
    </xf>
    <xf numFmtId="0" fontId="2" fillId="0" borderId="8" xfId="0" applyFont="1" applyBorder="1" applyAlignment="1">
      <alignment horizontal="center" vertical="center" wrapText="1"/>
    </xf>
    <xf numFmtId="0" fontId="8" fillId="0" borderId="8" xfId="0" applyFont="1" applyBorder="1">
      <alignment vertical="center"/>
    </xf>
    <xf numFmtId="49" fontId="0" fillId="0" borderId="8" xfId="0" applyNumberFormat="1" applyBorder="1">
      <alignment vertical="center"/>
    </xf>
    <xf numFmtId="0" fontId="9" fillId="5" borderId="8" xfId="1" applyBorder="1">
      <alignment vertical="center"/>
    </xf>
    <xf numFmtId="0" fontId="9" fillId="5" borderId="8" xfId="1" applyBorder="1" applyAlignment="1">
      <alignment horizontal="center" vertical="center" wrapText="1"/>
    </xf>
    <xf numFmtId="0" fontId="9" fillId="5" borderId="2" xfId="1" applyBorder="1" applyAlignment="1">
      <alignment horizontal="center" vertical="center" wrapText="1"/>
    </xf>
    <xf numFmtId="0" fontId="0" fillId="0" borderId="8" xfId="0" applyBorder="1" applyAlignment="1">
      <alignment vertical="center"/>
    </xf>
    <xf numFmtId="0" fontId="9" fillId="5" borderId="10" xfId="1" applyBorder="1" applyAlignment="1">
      <alignment horizontal="center" vertical="center" wrapText="1"/>
    </xf>
    <xf numFmtId="0" fontId="9" fillId="5" borderId="8" xfId="1" applyBorder="1" applyAlignment="1">
      <alignment horizontal="center" vertical="center"/>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5" fillId="0" borderId="7" xfId="0" applyFont="1" applyBorder="1" applyAlignment="1">
      <alignment wrapText="1"/>
    </xf>
    <xf numFmtId="0" fontId="5" fillId="0" borderId="6" xfId="0" applyFont="1" applyBorder="1" applyAlignment="1">
      <alignment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11" fillId="2" borderId="1"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cellXfs>
  <cellStyles count="2">
    <cellStyle name="강조색1" xfId="1" builtinId="29"/>
    <cellStyle name="표준" xfId="0" builtinId="0"/>
  </cellStyles>
  <dxfs count="19">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M22"/>
  <sheetViews>
    <sheetView zoomScale="71" workbookViewId="0">
      <selection activeCell="E7" sqref="A1:M22"/>
    </sheetView>
  </sheetViews>
  <sheetFormatPr defaultColWidth="17.5" defaultRowHeight="17"/>
  <cols>
    <col min="1" max="1" width="14.4140625" bestFit="1" customWidth="1"/>
    <col min="2" max="2" width="11" bestFit="1" customWidth="1"/>
    <col min="3" max="3" width="11.08203125" bestFit="1" customWidth="1"/>
    <col min="4" max="4" width="37.1640625" bestFit="1" customWidth="1"/>
    <col min="5" max="5" width="37.6640625" bestFit="1" customWidth="1"/>
    <col min="6" max="6" width="27.75" customWidth="1"/>
    <col min="7" max="7" width="28" bestFit="1" customWidth="1"/>
    <col min="8" max="8" width="48.75" bestFit="1" customWidth="1"/>
    <col min="9" max="9" width="32.08203125" customWidth="1"/>
    <col min="10" max="10" width="53.83203125" customWidth="1"/>
    <col min="11" max="11" width="53.9140625" customWidth="1"/>
    <col min="12" max="12" width="43" customWidth="1"/>
    <col min="13" max="13" width="48.9140625" customWidth="1"/>
  </cols>
  <sheetData>
    <row r="1" spans="1:13">
      <c r="A1" s="32" t="s">
        <v>423</v>
      </c>
      <c r="B1" s="32"/>
      <c r="C1" s="32"/>
      <c r="D1" s="32"/>
      <c r="E1" s="32"/>
      <c r="F1" s="32"/>
      <c r="G1" s="32"/>
      <c r="H1" s="32" t="s">
        <v>424</v>
      </c>
      <c r="I1" s="32"/>
      <c r="J1" s="32"/>
      <c r="K1" s="32"/>
    </row>
    <row r="2" spans="1:13">
      <c r="A2" s="27" t="s">
        <v>426</v>
      </c>
      <c r="B2" s="27" t="s">
        <v>411</v>
      </c>
      <c r="C2" s="27" t="s">
        <v>415</v>
      </c>
      <c r="D2" s="27" t="s">
        <v>420</v>
      </c>
      <c r="E2" s="27" t="s">
        <v>419</v>
      </c>
      <c r="F2" s="27" t="s">
        <v>409</v>
      </c>
      <c r="G2" s="27" t="s">
        <v>414</v>
      </c>
      <c r="H2" s="27" t="s">
        <v>412</v>
      </c>
      <c r="I2" s="27" t="s">
        <v>413</v>
      </c>
      <c r="J2" s="28" t="s">
        <v>437</v>
      </c>
      <c r="K2" s="28" t="s">
        <v>369</v>
      </c>
      <c r="L2" s="28" t="s">
        <v>8</v>
      </c>
      <c r="M2" s="31" t="s">
        <v>434</v>
      </c>
    </row>
    <row r="3" spans="1:13">
      <c r="A3" s="30" t="s">
        <v>410</v>
      </c>
      <c r="B3" s="16" t="s">
        <v>407</v>
      </c>
      <c r="C3" s="16" t="s">
        <v>417</v>
      </c>
      <c r="D3" s="16" t="s">
        <v>0</v>
      </c>
      <c r="E3" s="16" t="s">
        <v>1</v>
      </c>
      <c r="F3" s="16" t="s">
        <v>8</v>
      </c>
      <c r="G3" s="16"/>
      <c r="H3" s="16" t="s">
        <v>418</v>
      </c>
      <c r="I3" s="18"/>
      <c r="J3" s="18"/>
      <c r="K3" s="18"/>
    </row>
    <row r="4" spans="1:13">
      <c r="A4" s="30" t="s">
        <v>410</v>
      </c>
      <c r="B4" s="16" t="s">
        <v>407</v>
      </c>
      <c r="C4" s="16" t="s">
        <v>417</v>
      </c>
      <c r="D4" s="16" t="s">
        <v>3</v>
      </c>
      <c r="E4" s="16" t="s">
        <v>2</v>
      </c>
      <c r="F4" s="16" t="s">
        <v>8</v>
      </c>
      <c r="G4" s="16"/>
      <c r="H4" s="16" t="s">
        <v>418</v>
      </c>
      <c r="I4" s="18"/>
      <c r="J4" s="18"/>
      <c r="K4" s="18"/>
    </row>
    <row r="5" spans="1:13">
      <c r="A5" s="30" t="s">
        <v>410</v>
      </c>
      <c r="B5" s="16" t="s">
        <v>407</v>
      </c>
      <c r="C5" s="16" t="s">
        <v>417</v>
      </c>
      <c r="D5" s="16" t="s">
        <v>435</v>
      </c>
      <c r="E5" s="16" t="s">
        <v>8</v>
      </c>
      <c r="F5" s="16" t="s">
        <v>8</v>
      </c>
      <c r="G5" s="16"/>
      <c r="H5" s="16"/>
      <c r="I5" s="18"/>
      <c r="J5" s="18"/>
      <c r="K5" s="18"/>
    </row>
    <row r="6" spans="1:13">
      <c r="A6" s="30" t="s">
        <v>410</v>
      </c>
      <c r="B6" s="16" t="s">
        <v>407</v>
      </c>
      <c r="C6" s="16" t="s">
        <v>417</v>
      </c>
      <c r="D6" s="16" t="s">
        <v>4</v>
      </c>
      <c r="E6" s="16" t="s">
        <v>8</v>
      </c>
      <c r="F6" s="16" t="s">
        <v>8</v>
      </c>
      <c r="G6" s="16"/>
      <c r="H6" s="16"/>
      <c r="I6" s="18"/>
      <c r="J6" s="18"/>
      <c r="K6" s="18"/>
    </row>
    <row r="7" spans="1:13">
      <c r="A7" s="30" t="s">
        <v>410</v>
      </c>
      <c r="B7" s="16" t="s">
        <v>407</v>
      </c>
      <c r="C7" s="16" t="s">
        <v>417</v>
      </c>
      <c r="D7" s="16" t="s">
        <v>5</v>
      </c>
      <c r="E7" s="16" t="s">
        <v>8</v>
      </c>
      <c r="F7" s="16" t="s">
        <v>363</v>
      </c>
      <c r="G7" s="16"/>
      <c r="H7" s="16"/>
      <c r="I7" s="18"/>
      <c r="J7" s="18"/>
      <c r="K7" s="18"/>
    </row>
    <row r="8" spans="1:13">
      <c r="A8" s="30" t="s">
        <v>410</v>
      </c>
      <c r="B8" s="16" t="s">
        <v>407</v>
      </c>
      <c r="C8" s="16" t="s">
        <v>417</v>
      </c>
      <c r="D8" s="16" t="s">
        <v>6</v>
      </c>
      <c r="E8" s="16" t="s">
        <v>8</v>
      </c>
      <c r="F8" s="16" t="s">
        <v>8</v>
      </c>
      <c r="G8" s="16"/>
      <c r="H8" s="16"/>
      <c r="I8" s="18"/>
      <c r="J8" s="18"/>
      <c r="K8" s="18"/>
    </row>
    <row r="9" spans="1:13">
      <c r="A9" s="30" t="s">
        <v>410</v>
      </c>
      <c r="B9" s="16" t="s">
        <v>407</v>
      </c>
      <c r="C9" s="16" t="s">
        <v>417</v>
      </c>
      <c r="D9" s="17" t="s">
        <v>361</v>
      </c>
      <c r="E9" s="16" t="s">
        <v>362</v>
      </c>
      <c r="F9" s="16"/>
      <c r="G9" s="16"/>
      <c r="H9" s="16"/>
      <c r="I9" s="18"/>
      <c r="J9" s="18"/>
      <c r="K9" s="18"/>
    </row>
    <row r="10" spans="1:13">
      <c r="A10" s="30" t="s">
        <v>410</v>
      </c>
      <c r="B10" s="16" t="s">
        <v>408</v>
      </c>
      <c r="C10" s="16" t="s">
        <v>405</v>
      </c>
      <c r="D10" s="17" t="s">
        <v>416</v>
      </c>
      <c r="E10" s="26" t="s">
        <v>406</v>
      </c>
      <c r="F10" s="16" t="s">
        <v>8</v>
      </c>
      <c r="G10" s="16"/>
      <c r="H10" s="16" t="s">
        <v>418</v>
      </c>
      <c r="I10" s="18"/>
      <c r="J10" s="18"/>
      <c r="K10" s="18"/>
    </row>
    <row r="11" spans="1:13" ht="85">
      <c r="A11" s="30" t="s">
        <v>410</v>
      </c>
      <c r="B11" s="16" t="s">
        <v>408</v>
      </c>
      <c r="C11" s="16" t="s">
        <v>405</v>
      </c>
      <c r="D11" s="17" t="s">
        <v>416</v>
      </c>
      <c r="E11" s="18" t="s">
        <v>365</v>
      </c>
      <c r="F11" s="18"/>
      <c r="G11" s="16"/>
      <c r="H11" s="19" t="s">
        <v>370</v>
      </c>
      <c r="I11" s="19" t="s">
        <v>439</v>
      </c>
      <c r="J11" s="23" t="s">
        <v>438</v>
      </c>
      <c r="K11" s="18"/>
      <c r="L11" s="18" t="s">
        <v>436</v>
      </c>
      <c r="M11" s="18" t="s">
        <v>436</v>
      </c>
    </row>
    <row r="12" spans="1:13" ht="102" customHeight="1">
      <c r="A12" s="30" t="s">
        <v>410</v>
      </c>
      <c r="B12" s="16" t="s">
        <v>408</v>
      </c>
      <c r="C12" s="16" t="s">
        <v>405</v>
      </c>
      <c r="D12" s="17" t="s">
        <v>416</v>
      </c>
      <c r="E12" s="18" t="s">
        <v>403</v>
      </c>
      <c r="F12" s="18"/>
      <c r="G12" s="16"/>
      <c r="H12" s="19" t="s">
        <v>379</v>
      </c>
      <c r="I12" s="20" t="s">
        <v>380</v>
      </c>
      <c r="J12" s="18" t="s">
        <v>388</v>
      </c>
      <c r="K12" s="18"/>
      <c r="L12" s="18" t="s">
        <v>374</v>
      </c>
      <c r="M12" s="18" t="s">
        <v>374</v>
      </c>
    </row>
    <row r="13" spans="1:13" ht="119">
      <c r="A13" s="30" t="s">
        <v>410</v>
      </c>
      <c r="B13" s="16" t="s">
        <v>408</v>
      </c>
      <c r="C13" s="16" t="s">
        <v>405</v>
      </c>
      <c r="D13" s="17" t="s">
        <v>416</v>
      </c>
      <c r="E13" s="18" t="s">
        <v>364</v>
      </c>
      <c r="F13" s="18"/>
      <c r="G13" s="16"/>
      <c r="H13" s="19" t="s">
        <v>381</v>
      </c>
      <c r="I13" s="20" t="s">
        <v>383</v>
      </c>
      <c r="J13" s="18" t="s">
        <v>389</v>
      </c>
      <c r="K13" s="18" t="s">
        <v>368</v>
      </c>
      <c r="L13" s="18" t="s">
        <v>375</v>
      </c>
      <c r="M13" s="18" t="s">
        <v>375</v>
      </c>
    </row>
    <row r="14" spans="1:13" ht="170">
      <c r="A14" s="30" t="s">
        <v>410</v>
      </c>
      <c r="B14" s="16" t="s">
        <v>408</v>
      </c>
      <c r="C14" s="16" t="s">
        <v>405</v>
      </c>
      <c r="D14" s="17" t="s">
        <v>416</v>
      </c>
      <c r="E14" s="18" t="s">
        <v>367</v>
      </c>
      <c r="F14" s="18"/>
      <c r="G14" s="16"/>
      <c r="H14" s="19" t="s">
        <v>371</v>
      </c>
      <c r="I14" s="20" t="s">
        <v>382</v>
      </c>
      <c r="J14" s="18" t="s">
        <v>400</v>
      </c>
      <c r="K14" s="18"/>
      <c r="L14" s="18" t="s">
        <v>399</v>
      </c>
      <c r="M14" s="18" t="s">
        <v>399</v>
      </c>
    </row>
    <row r="15" spans="1:13" ht="85">
      <c r="A15" s="30" t="s">
        <v>410</v>
      </c>
      <c r="B15" s="16" t="s">
        <v>408</v>
      </c>
      <c r="C15" s="16" t="s">
        <v>405</v>
      </c>
      <c r="D15" s="17" t="s">
        <v>416</v>
      </c>
      <c r="E15" s="18" t="s">
        <v>366</v>
      </c>
      <c r="F15" s="18"/>
      <c r="G15" s="16"/>
      <c r="H15" s="20" t="s">
        <v>376</v>
      </c>
      <c r="I15" s="25"/>
      <c r="J15" s="18" t="s">
        <v>402</v>
      </c>
      <c r="K15" s="18"/>
      <c r="L15" s="18" t="s">
        <v>401</v>
      </c>
      <c r="M15" s="18" t="s">
        <v>401</v>
      </c>
    </row>
    <row r="16" spans="1:13">
      <c r="A16" s="30" t="s">
        <v>410</v>
      </c>
      <c r="B16" s="16" t="s">
        <v>408</v>
      </c>
      <c r="C16" s="17" t="s">
        <v>8</v>
      </c>
      <c r="D16" s="17" t="s">
        <v>427</v>
      </c>
      <c r="E16" s="16"/>
      <c r="F16" s="16"/>
      <c r="G16" s="16"/>
      <c r="H16" s="16"/>
      <c r="I16" s="16"/>
      <c r="J16" s="18"/>
      <c r="K16" s="16"/>
    </row>
    <row r="17" spans="1:11">
      <c r="A17" s="30" t="s">
        <v>410</v>
      </c>
      <c r="B17" s="16" t="s">
        <v>408</v>
      </c>
      <c r="C17" s="17" t="s">
        <v>8</v>
      </c>
      <c r="D17" s="17" t="s">
        <v>428</v>
      </c>
      <c r="E17" s="16"/>
      <c r="F17" s="16"/>
      <c r="G17" s="16"/>
      <c r="H17" s="16"/>
      <c r="I17" s="16"/>
      <c r="J17" s="18"/>
      <c r="K17" s="16"/>
    </row>
    <row r="18" spans="1:11">
      <c r="A18" s="30" t="s">
        <v>410</v>
      </c>
      <c r="B18" s="16" t="s">
        <v>408</v>
      </c>
      <c r="C18" s="17" t="s">
        <v>8</v>
      </c>
      <c r="D18" s="17" t="s">
        <v>429</v>
      </c>
      <c r="E18" s="16"/>
      <c r="F18" s="16"/>
      <c r="G18" s="16"/>
      <c r="H18" s="16"/>
      <c r="I18" s="16"/>
      <c r="J18" s="18"/>
      <c r="K18" s="16"/>
    </row>
    <row r="19" spans="1:11">
      <c r="A19" s="30" t="s">
        <v>410</v>
      </c>
      <c r="B19" s="16" t="s">
        <v>408</v>
      </c>
      <c r="C19" s="17" t="s">
        <v>8</v>
      </c>
      <c r="D19" s="16" t="s">
        <v>430</v>
      </c>
      <c r="E19" s="16"/>
      <c r="F19" s="16"/>
      <c r="G19" s="16"/>
      <c r="H19" s="16"/>
      <c r="I19" s="16"/>
      <c r="J19" s="18"/>
      <c r="K19" s="16"/>
    </row>
    <row r="20" spans="1:11">
      <c r="A20" s="30" t="s">
        <v>410</v>
      </c>
      <c r="B20" s="16" t="s">
        <v>408</v>
      </c>
      <c r="C20" s="17" t="s">
        <v>8</v>
      </c>
      <c r="D20" s="16" t="s">
        <v>431</v>
      </c>
      <c r="E20" s="16"/>
      <c r="F20" s="16"/>
      <c r="G20" s="16"/>
      <c r="H20" s="16"/>
      <c r="I20" s="16"/>
      <c r="J20" s="16"/>
      <c r="K20" s="16"/>
    </row>
    <row r="21" spans="1:11">
      <c r="A21" s="30" t="s">
        <v>410</v>
      </c>
      <c r="B21" s="16" t="s">
        <v>408</v>
      </c>
      <c r="C21" s="17" t="s">
        <v>8</v>
      </c>
      <c r="D21" s="16" t="s">
        <v>432</v>
      </c>
      <c r="E21" s="16"/>
      <c r="F21" s="16"/>
      <c r="G21" s="16"/>
      <c r="H21" s="16"/>
      <c r="I21" s="16"/>
      <c r="J21" s="16"/>
      <c r="K21" s="16"/>
    </row>
    <row r="22" spans="1:11">
      <c r="A22" s="30" t="s">
        <v>410</v>
      </c>
      <c r="B22" s="16" t="s">
        <v>408</v>
      </c>
      <c r="C22" s="17" t="s">
        <v>8</v>
      </c>
      <c r="D22" s="16" t="s">
        <v>433</v>
      </c>
      <c r="E22" s="16"/>
      <c r="F22" s="16"/>
      <c r="G22" s="16"/>
      <c r="H22" s="16"/>
      <c r="I22" s="16"/>
      <c r="J22" s="16"/>
      <c r="K22" s="16"/>
    </row>
  </sheetData>
  <mergeCells count="2">
    <mergeCell ref="H1:K1"/>
    <mergeCell ref="A1:G1"/>
  </mergeCells>
  <phoneticPr fontId="1" type="noConversion"/>
  <conditionalFormatting sqref="A1:M22">
    <cfRule type="containsText" dxfId="17" priority="1" operator="containsText" text="TBD">
      <formula>NOT(ISERROR(SEARCH("TBD",A1)))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33" t="s">
        <v>392</v>
      </c>
      <c r="B1" s="33"/>
      <c r="C1" s="33"/>
      <c r="D1" s="33"/>
      <c r="E1" s="33"/>
      <c r="F1" s="33"/>
      <c r="G1" s="33"/>
    </row>
    <row r="2" spans="1:7" ht="21.5" customHeight="1">
      <c r="A2" s="21" t="s">
        <v>9</v>
      </c>
      <c r="B2" s="21" t="s">
        <v>10</v>
      </c>
      <c r="C2" s="28" t="s">
        <v>372</v>
      </c>
      <c r="D2" s="28" t="s">
        <v>387</v>
      </c>
      <c r="E2" s="28" t="s">
        <v>386</v>
      </c>
      <c r="F2" s="28" t="s">
        <v>378</v>
      </c>
      <c r="G2" s="28" t="s">
        <v>385</v>
      </c>
    </row>
    <row r="3" spans="1:7" ht="119">
      <c r="A3" s="24">
        <v>1</v>
      </c>
      <c r="B3" s="18" t="s">
        <v>365</v>
      </c>
      <c r="C3" s="18" t="s">
        <v>373</v>
      </c>
      <c r="D3" s="18"/>
      <c r="E3" s="19" t="s">
        <v>377</v>
      </c>
      <c r="F3" s="19" t="s">
        <v>384</v>
      </c>
      <c r="G3" s="18"/>
    </row>
    <row r="4" spans="1:7" ht="51">
      <c r="A4" s="24">
        <v>2</v>
      </c>
      <c r="B4" s="18" t="s">
        <v>403</v>
      </c>
      <c r="C4" s="18" t="s">
        <v>374</v>
      </c>
      <c r="D4" s="18" t="s">
        <v>388</v>
      </c>
      <c r="E4" s="19" t="s">
        <v>379</v>
      </c>
      <c r="F4" s="20" t="s">
        <v>380</v>
      </c>
      <c r="G4" s="18"/>
    </row>
    <row r="5" spans="1:7" ht="85">
      <c r="A5" s="24">
        <v>3</v>
      </c>
      <c r="B5" s="18" t="s">
        <v>364</v>
      </c>
      <c r="C5" s="18" t="s">
        <v>375</v>
      </c>
      <c r="D5" s="18" t="s">
        <v>389</v>
      </c>
      <c r="E5" s="19" t="s">
        <v>381</v>
      </c>
      <c r="F5" s="20" t="s">
        <v>383</v>
      </c>
      <c r="G5" s="18" t="s">
        <v>368</v>
      </c>
    </row>
    <row r="6" spans="1:7" ht="170">
      <c r="A6" s="24">
        <v>4</v>
      </c>
      <c r="B6" s="18" t="s">
        <v>367</v>
      </c>
      <c r="C6" s="18" t="s">
        <v>399</v>
      </c>
      <c r="D6" s="18" t="s">
        <v>400</v>
      </c>
      <c r="E6" s="19" t="s">
        <v>371</v>
      </c>
      <c r="F6" s="20" t="s">
        <v>382</v>
      </c>
      <c r="G6" s="18"/>
    </row>
    <row r="7" spans="1:7" ht="85">
      <c r="A7" s="24">
        <v>5</v>
      </c>
      <c r="B7" s="18" t="s">
        <v>366</v>
      </c>
      <c r="C7" s="18" t="s">
        <v>401</v>
      </c>
      <c r="D7" s="18" t="s">
        <v>402</v>
      </c>
      <c r="E7" s="20" t="s">
        <v>376</v>
      </c>
      <c r="F7" s="25"/>
      <c r="G7" s="18"/>
    </row>
    <row r="8" spans="1:7" ht="34">
      <c r="A8" s="22" t="s">
        <v>8</v>
      </c>
      <c r="B8" s="19" t="s">
        <v>391</v>
      </c>
      <c r="C8" s="23"/>
      <c r="D8" s="23" t="s">
        <v>390</v>
      </c>
      <c r="E8" s="25"/>
      <c r="F8" s="25"/>
      <c r="G8" s="25"/>
    </row>
  </sheetData>
  <mergeCells count="1">
    <mergeCell ref="A1:G1"/>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9" t="s">
        <v>422</v>
      </c>
      <c r="F1" s="29" t="s">
        <v>440</v>
      </c>
      <c r="G1" s="29" t="s">
        <v>421</v>
      </c>
      <c r="H1" s="5" t="s">
        <v>14</v>
      </c>
      <c r="I1" s="5" t="s">
        <v>15</v>
      </c>
      <c r="J1" s="5" t="s">
        <v>16</v>
      </c>
    </row>
    <row r="2" spans="1:10" ht="85.5" thickBot="1">
      <c r="A2" s="37" t="s">
        <v>17</v>
      </c>
      <c r="B2" s="37" t="s">
        <v>18</v>
      </c>
      <c r="C2" s="34" t="s">
        <v>358</v>
      </c>
      <c r="D2" s="34" t="s">
        <v>19</v>
      </c>
      <c r="E2" s="34" t="s">
        <v>404</v>
      </c>
      <c r="F2" s="3" t="s">
        <v>20</v>
      </c>
      <c r="G2" s="3" t="s">
        <v>360</v>
      </c>
      <c r="H2" s="34" t="s">
        <v>21</v>
      </c>
      <c r="I2" s="34" t="s">
        <v>22</v>
      </c>
      <c r="J2" s="6" t="s">
        <v>23</v>
      </c>
    </row>
    <row r="3" spans="1:10" ht="34.5" thickBot="1">
      <c r="A3" s="38"/>
      <c r="B3" s="38"/>
      <c r="C3" s="35"/>
      <c r="D3" s="35"/>
      <c r="E3" s="35"/>
      <c r="F3" s="3" t="s">
        <v>359</v>
      </c>
      <c r="G3" s="3" t="s">
        <v>24</v>
      </c>
      <c r="H3" s="35"/>
      <c r="I3" s="35"/>
      <c r="J3" s="7"/>
    </row>
    <row r="4" spans="1:10" ht="136.5" thickBot="1">
      <c r="A4" s="39"/>
      <c r="B4" s="39"/>
      <c r="C4" s="36"/>
      <c r="D4" s="36"/>
      <c r="E4" s="36"/>
      <c r="F4" s="3" t="s">
        <v>25</v>
      </c>
      <c r="G4" s="3" t="s">
        <v>26</v>
      </c>
      <c r="H4" s="36"/>
      <c r="I4" s="36"/>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50"/>
  <sheetViews>
    <sheetView tabSelected="1" zoomScale="40" zoomScaleNormal="40" workbookViewId="0">
      <selection activeCell="E6" sqref="E6:E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15.9140625" customWidth="1"/>
    <col min="7" max="7" width="110.25" customWidth="1"/>
    <col min="8" max="8" width="133.25" customWidth="1"/>
    <col min="9" max="9" width="52.5" bestFit="1" customWidth="1"/>
    <col min="10" max="10" width="33.6640625" customWidth="1"/>
    <col min="11" max="11" width="75.9140625" customWidth="1"/>
  </cols>
  <sheetData>
    <row r="1" spans="1:11" ht="17.5" thickBot="1">
      <c r="A1" s="4" t="s">
        <v>441</v>
      </c>
      <c r="B1" s="5" t="s">
        <v>11</v>
      </c>
      <c r="C1" s="5" t="s">
        <v>12</v>
      </c>
      <c r="D1" s="5" t="s">
        <v>13</v>
      </c>
      <c r="E1" s="29" t="s">
        <v>426</v>
      </c>
      <c r="F1" s="29" t="s">
        <v>445</v>
      </c>
      <c r="G1" s="29" t="s">
        <v>440</v>
      </c>
      <c r="H1" s="29" t="s">
        <v>425</v>
      </c>
      <c r="I1" s="5" t="s">
        <v>14</v>
      </c>
      <c r="J1" s="5" t="s">
        <v>15</v>
      </c>
      <c r="K1" s="5" t="s">
        <v>16</v>
      </c>
    </row>
    <row r="2" spans="1:11" ht="68.5" thickBot="1">
      <c r="A2" s="37" t="s">
        <v>17</v>
      </c>
      <c r="B2" s="37" t="s">
        <v>18</v>
      </c>
      <c r="C2" s="34" t="s">
        <v>358</v>
      </c>
      <c r="D2" s="34" t="s">
        <v>19</v>
      </c>
      <c r="E2" s="34" t="s">
        <v>397</v>
      </c>
      <c r="F2" s="37" t="str">
        <f>_xlfn.CONCAT("TC-", A2)</f>
        <v>TC-HRK-001</v>
      </c>
      <c r="G2" s="3" t="s">
        <v>20</v>
      </c>
      <c r="H2" s="3" t="s">
        <v>360</v>
      </c>
      <c r="I2" s="34" t="s">
        <v>21</v>
      </c>
      <c r="J2" s="34" t="s">
        <v>22</v>
      </c>
      <c r="K2" s="6" t="s">
        <v>23</v>
      </c>
    </row>
    <row r="3" spans="1:11" ht="17.5" thickBot="1">
      <c r="A3" s="38"/>
      <c r="B3" s="38"/>
      <c r="C3" s="35"/>
      <c r="D3" s="35"/>
      <c r="E3" s="35"/>
      <c r="F3" s="38"/>
      <c r="G3" s="3" t="s">
        <v>359</v>
      </c>
      <c r="H3" s="3" t="s">
        <v>24</v>
      </c>
      <c r="I3" s="35"/>
      <c r="J3" s="35"/>
      <c r="K3" s="7"/>
    </row>
    <row r="4" spans="1:11" ht="85.5" thickBot="1">
      <c r="A4" s="39"/>
      <c r="B4" s="39"/>
      <c r="C4" s="36"/>
      <c r="D4" s="36"/>
      <c r="E4" s="36"/>
      <c r="F4" s="39"/>
      <c r="G4" s="3" t="s">
        <v>25</v>
      </c>
      <c r="H4" s="3" t="s">
        <v>26</v>
      </c>
      <c r="I4" s="36"/>
      <c r="J4" s="36"/>
      <c r="K4" s="7"/>
    </row>
    <row r="5" spans="1:11" ht="136.5" thickBot="1">
      <c r="A5" s="2" t="s">
        <v>27</v>
      </c>
      <c r="B5" s="8" t="s">
        <v>28</v>
      </c>
      <c r="C5" s="3" t="s">
        <v>29</v>
      </c>
      <c r="D5" s="3" t="s">
        <v>30</v>
      </c>
      <c r="E5" s="3" t="s">
        <v>398</v>
      </c>
      <c r="F5" s="2" t="s">
        <v>27</v>
      </c>
      <c r="G5" s="3" t="s">
        <v>31</v>
      </c>
      <c r="H5" s="3" t="s">
        <v>32</v>
      </c>
      <c r="I5" s="3" t="s">
        <v>33</v>
      </c>
      <c r="J5" s="3" t="s">
        <v>34</v>
      </c>
      <c r="K5" s="7"/>
    </row>
    <row r="6" spans="1:11" ht="153.5" thickBot="1">
      <c r="A6" s="37" t="s">
        <v>35</v>
      </c>
      <c r="B6" s="37" t="s">
        <v>36</v>
      </c>
      <c r="C6" s="34" t="s">
        <v>37</v>
      </c>
      <c r="D6" s="34" t="s">
        <v>38</v>
      </c>
      <c r="E6" s="34" t="s">
        <v>398</v>
      </c>
      <c r="F6" s="37" t="s">
        <v>35</v>
      </c>
      <c r="G6" s="3" t="s">
        <v>39</v>
      </c>
      <c r="H6" s="3" t="s">
        <v>40</v>
      </c>
      <c r="I6" s="34" t="s">
        <v>41</v>
      </c>
      <c r="J6" s="34" t="s">
        <v>34</v>
      </c>
      <c r="K6" s="7"/>
    </row>
    <row r="7" spans="1:11" ht="34.5" thickBot="1">
      <c r="A7" s="38"/>
      <c r="B7" s="38"/>
      <c r="C7" s="35"/>
      <c r="D7" s="35"/>
      <c r="E7" s="35"/>
      <c r="F7" s="38"/>
      <c r="G7" s="3" t="s">
        <v>42</v>
      </c>
      <c r="H7" s="3" t="s">
        <v>43</v>
      </c>
      <c r="I7" s="35"/>
      <c r="J7" s="35"/>
      <c r="K7" s="7"/>
    </row>
    <row r="8" spans="1:11" ht="17.5" thickBot="1">
      <c r="A8" s="38"/>
      <c r="B8" s="38"/>
      <c r="C8" s="35"/>
      <c r="D8" s="35"/>
      <c r="E8" s="35"/>
      <c r="F8" s="38"/>
      <c r="G8" s="3" t="s">
        <v>44</v>
      </c>
      <c r="H8" s="3" t="s">
        <v>45</v>
      </c>
      <c r="I8" s="35"/>
      <c r="J8" s="35"/>
      <c r="K8" s="7"/>
    </row>
    <row r="9" spans="1:11" ht="34.5" thickBot="1">
      <c r="A9" s="38"/>
      <c r="B9" s="38"/>
      <c r="C9" s="35"/>
      <c r="D9" s="35"/>
      <c r="E9" s="35"/>
      <c r="F9" s="38"/>
      <c r="G9" s="3" t="s">
        <v>46</v>
      </c>
      <c r="H9" s="3" t="s">
        <v>47</v>
      </c>
      <c r="I9" s="35"/>
      <c r="J9" s="35"/>
      <c r="K9" s="7"/>
    </row>
    <row r="10" spans="1:11" ht="51.5" thickBot="1">
      <c r="A10" s="39"/>
      <c r="B10" s="39"/>
      <c r="C10" s="36"/>
      <c r="D10" s="36"/>
      <c r="E10" s="36"/>
      <c r="F10" s="39"/>
      <c r="G10" s="3" t="s">
        <v>48</v>
      </c>
      <c r="H10" s="3" t="s">
        <v>49</v>
      </c>
      <c r="I10" s="36"/>
      <c r="J10" s="36"/>
      <c r="K10" s="7"/>
    </row>
    <row r="11" spans="1:11" ht="153.5" thickBot="1">
      <c r="A11" s="37" t="s">
        <v>50</v>
      </c>
      <c r="B11" s="37" t="s">
        <v>51</v>
      </c>
      <c r="C11" s="34" t="s">
        <v>52</v>
      </c>
      <c r="D11" s="34" t="s">
        <v>38</v>
      </c>
      <c r="E11" s="34" t="s">
        <v>398</v>
      </c>
      <c r="F11" s="37" t="s">
        <v>50</v>
      </c>
      <c r="G11" s="3" t="s">
        <v>53</v>
      </c>
      <c r="H11" s="3" t="s">
        <v>40</v>
      </c>
      <c r="I11" s="34" t="s">
        <v>41</v>
      </c>
      <c r="J11" s="34" t="s">
        <v>34</v>
      </c>
      <c r="K11" s="7"/>
    </row>
    <row r="12" spans="1:11" ht="34.5" thickBot="1">
      <c r="A12" s="38"/>
      <c r="B12" s="38"/>
      <c r="C12" s="35"/>
      <c r="D12" s="35"/>
      <c r="E12" s="35"/>
      <c r="F12" s="38"/>
      <c r="G12" s="3" t="s">
        <v>54</v>
      </c>
      <c r="H12" s="3" t="s">
        <v>55</v>
      </c>
      <c r="I12" s="35"/>
      <c r="J12" s="35"/>
      <c r="K12" s="7"/>
    </row>
    <row r="13" spans="1:11" ht="136.5" thickBot="1">
      <c r="A13" s="38"/>
      <c r="B13" s="38"/>
      <c r="C13" s="35"/>
      <c r="D13" s="35"/>
      <c r="E13" s="35"/>
      <c r="F13" s="38"/>
      <c r="G13" s="3" t="s">
        <v>46</v>
      </c>
      <c r="H13" s="3" t="s">
        <v>56</v>
      </c>
      <c r="I13" s="35"/>
      <c r="J13" s="35"/>
      <c r="K13" s="7"/>
    </row>
    <row r="14" spans="1:11" ht="51.5" thickBot="1">
      <c r="A14" s="39"/>
      <c r="B14" s="39"/>
      <c r="C14" s="36"/>
      <c r="D14" s="36"/>
      <c r="E14" s="36"/>
      <c r="F14" s="39"/>
      <c r="G14" s="3" t="s">
        <v>48</v>
      </c>
      <c r="H14" s="3" t="s">
        <v>49</v>
      </c>
      <c r="I14" s="36"/>
      <c r="J14" s="36"/>
      <c r="K14" s="7"/>
    </row>
    <row r="15" spans="1:11" ht="68.5" thickBot="1">
      <c r="A15" s="37" t="s">
        <v>57</v>
      </c>
      <c r="B15" s="37" t="s">
        <v>58</v>
      </c>
      <c r="C15" s="34" t="s">
        <v>59</v>
      </c>
      <c r="D15" s="34" t="s">
        <v>60</v>
      </c>
      <c r="E15" s="34" t="s">
        <v>398</v>
      </c>
      <c r="F15" s="37" t="s">
        <v>57</v>
      </c>
      <c r="G15" s="3" t="s">
        <v>61</v>
      </c>
      <c r="H15" s="3" t="s">
        <v>62</v>
      </c>
      <c r="I15" s="34" t="s">
        <v>63</v>
      </c>
      <c r="J15" s="34" t="s">
        <v>64</v>
      </c>
      <c r="K15" s="7"/>
    </row>
    <row r="16" spans="1:11" ht="272.5" thickBot="1">
      <c r="A16" s="39"/>
      <c r="B16" s="39"/>
      <c r="C16" s="36"/>
      <c r="D16" s="36"/>
      <c r="E16" s="36"/>
      <c r="F16" s="39"/>
      <c r="G16" s="3" t="s">
        <v>65</v>
      </c>
      <c r="H16" s="9" t="s">
        <v>442</v>
      </c>
      <c r="I16" s="36"/>
      <c r="J16" s="36"/>
      <c r="K16" s="7"/>
    </row>
    <row r="17" spans="1:11" ht="68.5" thickBot="1">
      <c r="A17" s="37" t="s">
        <v>67</v>
      </c>
      <c r="B17" s="37" t="s">
        <v>68</v>
      </c>
      <c r="C17" s="34" t="s">
        <v>69</v>
      </c>
      <c r="D17" s="34" t="s">
        <v>60</v>
      </c>
      <c r="E17" s="34" t="s">
        <v>398</v>
      </c>
      <c r="F17" s="37" t="s">
        <v>67</v>
      </c>
      <c r="G17" s="3" t="s">
        <v>70</v>
      </c>
      <c r="H17" s="3" t="s">
        <v>71</v>
      </c>
      <c r="I17" s="34" t="s">
        <v>63</v>
      </c>
      <c r="J17" s="34" t="s">
        <v>64</v>
      </c>
      <c r="K17" s="7"/>
    </row>
    <row r="18" spans="1:11" ht="238.5" thickBot="1">
      <c r="A18" s="39"/>
      <c r="B18" s="39"/>
      <c r="C18" s="36"/>
      <c r="D18" s="36"/>
      <c r="E18" s="36"/>
      <c r="F18" s="39"/>
      <c r="G18" s="3" t="s">
        <v>72</v>
      </c>
      <c r="H18" s="9" t="s">
        <v>443</v>
      </c>
      <c r="I18" s="36"/>
      <c r="J18" s="36"/>
      <c r="K18" s="7"/>
    </row>
    <row r="19" spans="1:11" ht="68.5" thickBot="1">
      <c r="A19" s="37" t="s">
        <v>73</v>
      </c>
      <c r="B19" s="37" t="s">
        <v>74</v>
      </c>
      <c r="C19" s="34" t="s">
        <v>75</v>
      </c>
      <c r="D19" s="34" t="s">
        <v>60</v>
      </c>
      <c r="E19" s="34" t="s">
        <v>398</v>
      </c>
      <c r="F19" s="37" t="s">
        <v>73</v>
      </c>
      <c r="G19" s="3" t="s">
        <v>76</v>
      </c>
      <c r="H19" s="3" t="s">
        <v>77</v>
      </c>
      <c r="I19" s="34" t="s">
        <v>78</v>
      </c>
      <c r="J19" s="34" t="s">
        <v>64</v>
      </c>
      <c r="K19" s="7"/>
    </row>
    <row r="20" spans="1:11" ht="238.5" thickBot="1">
      <c r="A20" s="39"/>
      <c r="B20" s="39"/>
      <c r="C20" s="36"/>
      <c r="D20" s="36"/>
      <c r="E20" s="36"/>
      <c r="F20" s="39"/>
      <c r="G20" s="3" t="s">
        <v>72</v>
      </c>
      <c r="H20" s="9" t="s">
        <v>443</v>
      </c>
      <c r="I20" s="36"/>
      <c r="J20" s="36"/>
      <c r="K20" s="7"/>
    </row>
    <row r="21" spans="1:11" ht="68.5" thickBot="1">
      <c r="A21" s="37" t="s">
        <v>79</v>
      </c>
      <c r="B21" s="37" t="s">
        <v>80</v>
      </c>
      <c r="C21" s="34" t="s">
        <v>81</v>
      </c>
      <c r="D21" s="34" t="s">
        <v>60</v>
      </c>
      <c r="E21" s="34" t="s">
        <v>398</v>
      </c>
      <c r="F21" s="37" t="s">
        <v>79</v>
      </c>
      <c r="G21" s="3" t="s">
        <v>82</v>
      </c>
      <c r="H21" s="3" t="s">
        <v>83</v>
      </c>
      <c r="I21" s="34" t="s">
        <v>84</v>
      </c>
      <c r="J21" s="34" t="s">
        <v>64</v>
      </c>
      <c r="K21" s="7"/>
    </row>
    <row r="22" spans="1:11" ht="238.5" thickBot="1">
      <c r="A22" s="39"/>
      <c r="B22" s="39"/>
      <c r="C22" s="36"/>
      <c r="D22" s="36"/>
      <c r="E22" s="36"/>
      <c r="F22" s="39"/>
      <c r="G22" s="3" t="s">
        <v>85</v>
      </c>
      <c r="H22" s="9" t="s">
        <v>443</v>
      </c>
      <c r="I22" s="36"/>
      <c r="J22" s="36"/>
      <c r="K22" s="7"/>
    </row>
    <row r="23" spans="1:11" ht="68.5" thickBot="1">
      <c r="A23" s="37" t="s">
        <v>86</v>
      </c>
      <c r="B23" s="37" t="s">
        <v>87</v>
      </c>
      <c r="C23" s="34" t="s">
        <v>88</v>
      </c>
      <c r="D23" s="34" t="s">
        <v>60</v>
      </c>
      <c r="E23" s="34" t="s">
        <v>398</v>
      </c>
      <c r="F23" s="37" t="s">
        <v>86</v>
      </c>
      <c r="G23" s="3" t="s">
        <v>89</v>
      </c>
      <c r="H23" s="3" t="s">
        <v>83</v>
      </c>
      <c r="I23" s="34" t="s">
        <v>84</v>
      </c>
      <c r="J23" s="34" t="s">
        <v>64</v>
      </c>
      <c r="K23" s="7"/>
    </row>
    <row r="24" spans="1:11" ht="34.5" thickBot="1">
      <c r="A24" s="38"/>
      <c r="B24" s="38"/>
      <c r="C24" s="35"/>
      <c r="D24" s="35"/>
      <c r="E24" s="35"/>
      <c r="F24" s="38"/>
      <c r="G24" s="3" t="s">
        <v>90</v>
      </c>
      <c r="H24" s="3" t="s">
        <v>91</v>
      </c>
      <c r="I24" s="35"/>
      <c r="J24" s="35"/>
      <c r="K24" s="7"/>
    </row>
    <row r="25" spans="1:11" ht="34.5" thickBot="1">
      <c r="A25" s="38"/>
      <c r="B25" s="38"/>
      <c r="C25" s="35"/>
      <c r="D25" s="35"/>
      <c r="E25" s="35"/>
      <c r="F25" s="38"/>
      <c r="G25" s="3" t="s">
        <v>92</v>
      </c>
      <c r="H25" s="3" t="s">
        <v>93</v>
      </c>
      <c r="I25" s="35"/>
      <c r="J25" s="35"/>
      <c r="K25" s="7"/>
    </row>
    <row r="26" spans="1:11" ht="170.5" thickBot="1">
      <c r="A26" s="39"/>
      <c r="B26" s="39"/>
      <c r="C26" s="36"/>
      <c r="D26" s="36"/>
      <c r="E26" s="36"/>
      <c r="F26" s="39"/>
      <c r="G26" s="3" t="s">
        <v>94</v>
      </c>
      <c r="H26" s="9" t="s">
        <v>66</v>
      </c>
      <c r="I26" s="36"/>
      <c r="J26" s="36"/>
      <c r="K26" s="7"/>
    </row>
    <row r="27" spans="1:11" ht="136.5" customHeight="1" thickBot="1">
      <c r="A27" s="37" t="s">
        <v>95</v>
      </c>
      <c r="B27" s="37" t="s">
        <v>96</v>
      </c>
      <c r="C27" s="46" t="s">
        <v>97</v>
      </c>
      <c r="D27" s="46" t="s">
        <v>98</v>
      </c>
      <c r="E27" s="34" t="s">
        <v>398</v>
      </c>
      <c r="F27" s="37" t="s">
        <v>95</v>
      </c>
      <c r="G27" s="3" t="s">
        <v>99</v>
      </c>
      <c r="H27" s="3" t="s">
        <v>100</v>
      </c>
      <c r="I27" s="34" t="s">
        <v>101</v>
      </c>
      <c r="J27" s="34" t="s">
        <v>102</v>
      </c>
      <c r="K27" s="3" t="s">
        <v>103</v>
      </c>
    </row>
    <row r="28" spans="1:11" ht="170.5" customHeight="1" thickBot="1">
      <c r="A28" s="38"/>
      <c r="B28" s="38"/>
      <c r="C28" s="47"/>
      <c r="D28" s="47"/>
      <c r="E28" s="35"/>
      <c r="F28" s="38"/>
      <c r="G28" s="3" t="s">
        <v>104</v>
      </c>
      <c r="H28" s="3" t="s">
        <v>105</v>
      </c>
      <c r="I28" s="35"/>
      <c r="J28" s="35"/>
      <c r="K28" s="7"/>
    </row>
    <row r="29" spans="1:11" ht="85.5" customHeight="1" thickBot="1">
      <c r="A29" s="38"/>
      <c r="B29" s="38"/>
      <c r="C29" s="47"/>
      <c r="D29" s="47"/>
      <c r="E29" s="35"/>
      <c r="F29" s="38"/>
      <c r="G29" s="3" t="s">
        <v>106</v>
      </c>
      <c r="H29" s="3" t="s">
        <v>107</v>
      </c>
      <c r="I29" s="35"/>
      <c r="J29" s="35"/>
      <c r="K29" s="7"/>
    </row>
    <row r="30" spans="1:11" ht="68.5" customHeight="1" thickBot="1">
      <c r="A30" s="38"/>
      <c r="B30" s="38"/>
      <c r="C30" s="47"/>
      <c r="D30" s="47"/>
      <c r="E30" s="35"/>
      <c r="F30" s="38"/>
      <c r="G30" s="3" t="s">
        <v>108</v>
      </c>
      <c r="H30" s="3" t="s">
        <v>109</v>
      </c>
      <c r="I30" s="35"/>
      <c r="J30" s="35"/>
      <c r="K30" s="7"/>
    </row>
    <row r="31" spans="1:11" ht="51.5" customHeight="1" thickBot="1">
      <c r="A31" s="38"/>
      <c r="B31" s="38"/>
      <c r="C31" s="47"/>
      <c r="D31" s="47"/>
      <c r="E31" s="35"/>
      <c r="F31" s="38"/>
      <c r="G31" s="3" t="s">
        <v>110</v>
      </c>
      <c r="H31" s="3" t="s">
        <v>111</v>
      </c>
      <c r="I31" s="35"/>
      <c r="J31" s="35"/>
      <c r="K31" s="7"/>
    </row>
    <row r="32" spans="1:11" ht="119.5" customHeight="1" thickBot="1">
      <c r="A32" s="38"/>
      <c r="B32" s="38"/>
      <c r="C32" s="47"/>
      <c r="D32" s="47"/>
      <c r="E32" s="35"/>
      <c r="F32" s="38"/>
      <c r="G32" s="3" t="s">
        <v>112</v>
      </c>
      <c r="H32" s="9" t="s">
        <v>113</v>
      </c>
      <c r="I32" s="35"/>
      <c r="J32" s="35"/>
      <c r="K32" s="7"/>
    </row>
    <row r="33" spans="1:11" ht="153.5" customHeight="1" thickBot="1">
      <c r="A33" s="38"/>
      <c r="B33" s="38"/>
      <c r="C33" s="47"/>
      <c r="D33" s="47"/>
      <c r="E33" s="35"/>
      <c r="F33" s="38"/>
      <c r="G33" s="3" t="s">
        <v>114</v>
      </c>
      <c r="H33" s="3" t="s">
        <v>115</v>
      </c>
      <c r="I33" s="35"/>
      <c r="J33" s="35"/>
      <c r="K33" s="7"/>
    </row>
    <row r="34" spans="1:11" ht="68.5" customHeight="1" thickBot="1">
      <c r="A34" s="38"/>
      <c r="B34" s="38"/>
      <c r="C34" s="47"/>
      <c r="D34" s="47"/>
      <c r="E34" s="36"/>
      <c r="F34" s="38"/>
      <c r="G34" s="3" t="s">
        <v>48</v>
      </c>
      <c r="H34" s="3" t="s">
        <v>116</v>
      </c>
      <c r="I34" s="36"/>
      <c r="J34" s="36"/>
      <c r="K34" s="7"/>
    </row>
    <row r="35" spans="1:11" ht="136.5" customHeight="1" thickBot="1">
      <c r="A35" s="38"/>
      <c r="B35" s="38"/>
      <c r="C35" s="47"/>
      <c r="D35" s="49"/>
      <c r="E35" s="34" t="s">
        <v>398</v>
      </c>
      <c r="F35" s="38"/>
      <c r="G35" s="3" t="s">
        <v>99</v>
      </c>
      <c r="H35" s="3" t="s">
        <v>100</v>
      </c>
      <c r="I35" s="34" t="s">
        <v>101</v>
      </c>
      <c r="J35" s="34" t="s">
        <v>102</v>
      </c>
      <c r="K35" s="3" t="s">
        <v>103</v>
      </c>
    </row>
    <row r="36" spans="1:11" ht="170.5" customHeight="1" thickBot="1">
      <c r="A36" s="38"/>
      <c r="B36" s="38"/>
      <c r="C36" s="47"/>
      <c r="D36" s="49"/>
      <c r="E36" s="35"/>
      <c r="F36" s="38"/>
      <c r="G36" s="3" t="s">
        <v>104</v>
      </c>
      <c r="H36" s="3" t="s">
        <v>105</v>
      </c>
      <c r="I36" s="35"/>
      <c r="J36" s="35"/>
      <c r="K36" s="7"/>
    </row>
    <row r="37" spans="1:11" ht="85.5" customHeight="1" thickBot="1">
      <c r="A37" s="38"/>
      <c r="B37" s="38"/>
      <c r="C37" s="47"/>
      <c r="D37" s="49"/>
      <c r="E37" s="35"/>
      <c r="F37" s="38"/>
      <c r="G37" s="3" t="s">
        <v>106</v>
      </c>
      <c r="H37" s="3" t="s">
        <v>107</v>
      </c>
      <c r="I37" s="35"/>
      <c r="J37" s="35"/>
      <c r="K37" s="7"/>
    </row>
    <row r="38" spans="1:11" ht="68.5" customHeight="1" thickBot="1">
      <c r="A38" s="38"/>
      <c r="B38" s="38"/>
      <c r="C38" s="47"/>
      <c r="D38" s="49"/>
      <c r="E38" s="35"/>
      <c r="F38" s="38"/>
      <c r="G38" s="3" t="s">
        <v>108</v>
      </c>
      <c r="H38" s="3" t="s">
        <v>109</v>
      </c>
      <c r="I38" s="35"/>
      <c r="J38" s="35"/>
      <c r="K38" s="7"/>
    </row>
    <row r="39" spans="1:11" ht="51.5" customHeight="1" thickBot="1">
      <c r="A39" s="38"/>
      <c r="B39" s="38"/>
      <c r="C39" s="47"/>
      <c r="D39" s="49"/>
      <c r="E39" s="35"/>
      <c r="F39" s="38"/>
      <c r="G39" s="3" t="s">
        <v>110</v>
      </c>
      <c r="H39" s="3" t="s">
        <v>111</v>
      </c>
      <c r="I39" s="35"/>
      <c r="J39" s="35"/>
      <c r="K39" s="7"/>
    </row>
    <row r="40" spans="1:11" ht="119.5" customHeight="1" thickBot="1">
      <c r="A40" s="38"/>
      <c r="B40" s="38"/>
      <c r="C40" s="47"/>
      <c r="D40" s="49"/>
      <c r="E40" s="35"/>
      <c r="F40" s="38"/>
      <c r="G40" s="3" t="s">
        <v>112</v>
      </c>
      <c r="H40" s="9" t="s">
        <v>113</v>
      </c>
      <c r="I40" s="35"/>
      <c r="J40" s="35"/>
      <c r="K40" s="7"/>
    </row>
    <row r="41" spans="1:11" ht="153.5" customHeight="1" thickBot="1">
      <c r="A41" s="38"/>
      <c r="B41" s="38"/>
      <c r="C41" s="47"/>
      <c r="D41" s="49"/>
      <c r="E41" s="35"/>
      <c r="F41" s="38"/>
      <c r="G41" s="3" t="s">
        <v>114</v>
      </c>
      <c r="H41" s="3" t="s">
        <v>115</v>
      </c>
      <c r="I41" s="35"/>
      <c r="J41" s="35"/>
      <c r="K41" s="7"/>
    </row>
    <row r="42" spans="1:11" ht="68.5" customHeight="1" thickBot="1">
      <c r="A42" s="39"/>
      <c r="B42" s="39"/>
      <c r="C42" s="48"/>
      <c r="D42" s="50"/>
      <c r="E42" s="36"/>
      <c r="F42" s="39"/>
      <c r="G42" s="3" t="s">
        <v>48</v>
      </c>
      <c r="H42" s="3" t="s">
        <v>116</v>
      </c>
      <c r="I42" s="36"/>
      <c r="J42" s="36"/>
      <c r="K42" s="7"/>
    </row>
    <row r="43" spans="1:11" ht="136.5" thickBot="1">
      <c r="A43" s="37" t="s">
        <v>117</v>
      </c>
      <c r="B43" s="37" t="s">
        <v>118</v>
      </c>
      <c r="C43" s="34" t="s">
        <v>119</v>
      </c>
      <c r="D43" s="34" t="s">
        <v>38</v>
      </c>
      <c r="E43" s="34" t="s">
        <v>398</v>
      </c>
      <c r="F43" s="37" t="s">
        <v>117</v>
      </c>
      <c r="G43" s="3" t="s">
        <v>120</v>
      </c>
      <c r="H43" s="3" t="s">
        <v>121</v>
      </c>
      <c r="I43" s="34" t="s">
        <v>101</v>
      </c>
      <c r="J43" s="34" t="s">
        <v>22</v>
      </c>
      <c r="K43" s="7"/>
    </row>
    <row r="44" spans="1:11" ht="51.5" thickBot="1">
      <c r="A44" s="38"/>
      <c r="B44" s="38"/>
      <c r="C44" s="35"/>
      <c r="D44" s="35"/>
      <c r="E44" s="35"/>
      <c r="F44" s="38"/>
      <c r="G44" s="3" t="s">
        <v>106</v>
      </c>
      <c r="H44" s="3" t="s">
        <v>107</v>
      </c>
      <c r="I44" s="35"/>
      <c r="J44" s="35"/>
      <c r="K44" s="10"/>
    </row>
    <row r="45" spans="1:11" ht="85.5" thickBot="1">
      <c r="A45" s="38"/>
      <c r="B45" s="38"/>
      <c r="C45" s="35"/>
      <c r="D45" s="35"/>
      <c r="E45" s="35"/>
      <c r="F45" s="38"/>
      <c r="G45" s="3" t="s">
        <v>122</v>
      </c>
      <c r="H45" s="3" t="s">
        <v>123</v>
      </c>
      <c r="I45" s="35"/>
      <c r="J45" s="35"/>
      <c r="K45" s="10"/>
    </row>
    <row r="46" spans="1:11" ht="17.5" thickBot="1">
      <c r="A46" s="38"/>
      <c r="B46" s="38"/>
      <c r="C46" s="35"/>
      <c r="D46" s="35"/>
      <c r="E46" s="35"/>
      <c r="F46" s="38"/>
      <c r="G46" s="9" t="s">
        <v>124</v>
      </c>
      <c r="H46" s="10"/>
      <c r="I46" s="35"/>
      <c r="J46" s="35"/>
      <c r="K46" s="10"/>
    </row>
    <row r="47" spans="1:11" ht="34.5" thickBot="1">
      <c r="A47" s="38"/>
      <c r="B47" s="38"/>
      <c r="C47" s="35"/>
      <c r="D47" s="35"/>
      <c r="E47" s="35"/>
      <c r="F47" s="38"/>
      <c r="G47" s="3" t="s">
        <v>108</v>
      </c>
      <c r="H47" s="3" t="s">
        <v>109</v>
      </c>
      <c r="I47" s="35"/>
      <c r="J47" s="35"/>
      <c r="K47" s="10"/>
    </row>
    <row r="48" spans="1:11" ht="17.5" thickBot="1">
      <c r="A48" s="38"/>
      <c r="B48" s="38"/>
      <c r="C48" s="35"/>
      <c r="D48" s="35"/>
      <c r="E48" s="35"/>
      <c r="F48" s="38"/>
      <c r="G48" s="3" t="s">
        <v>110</v>
      </c>
      <c r="H48" s="3" t="s">
        <v>111</v>
      </c>
      <c r="I48" s="35"/>
      <c r="J48" s="35"/>
      <c r="K48" s="10"/>
    </row>
    <row r="49" spans="1:11" ht="68.5" thickBot="1">
      <c r="A49" s="38"/>
      <c r="B49" s="38"/>
      <c r="C49" s="35"/>
      <c r="D49" s="35"/>
      <c r="E49" s="35"/>
      <c r="F49" s="38"/>
      <c r="G49" s="3" t="s">
        <v>112</v>
      </c>
      <c r="H49" s="3" t="s">
        <v>125</v>
      </c>
      <c r="I49" s="35"/>
      <c r="J49" s="35"/>
      <c r="K49" s="10"/>
    </row>
    <row r="50" spans="1:11" ht="34.5" thickBot="1">
      <c r="A50" s="39"/>
      <c r="B50" s="39"/>
      <c r="C50" s="36"/>
      <c r="D50" s="36"/>
      <c r="E50" s="36"/>
      <c r="F50" s="39"/>
      <c r="G50" s="3" t="s">
        <v>48</v>
      </c>
      <c r="H50" s="3" t="s">
        <v>116</v>
      </c>
      <c r="I50" s="36"/>
      <c r="J50" s="36"/>
      <c r="K50" s="10"/>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16" priority="5" operator="containsText" text="TBD">
      <formula>NOT(ISERROR(SEARCH("TBD",A1)))</formula>
    </cfRule>
  </conditionalFormatting>
  <conditionalFormatting sqref="A27:E27 B28:E34 G27:K34">
    <cfRule type="containsText" dxfId="15" priority="4" operator="containsText" text="TBD">
      <formula>NOT(ISERROR(SEARCH("TBD",A27)))</formula>
    </cfRule>
  </conditionalFormatting>
  <conditionalFormatting sqref="F2:F26 F43:F50">
    <cfRule type="containsText" dxfId="10" priority="3" operator="containsText" text="TBD">
      <formula>NOT(ISERROR(SEARCH("TBD",F2)))</formula>
    </cfRule>
  </conditionalFormatting>
  <conditionalFormatting sqref="F27">
    <cfRule type="containsText" dxfId="9" priority="2" operator="containsText" text="TBD">
      <formula>NOT(ISERROR(SEARCH("TBD",F27)))</formula>
    </cfRule>
  </conditionalFormatting>
  <conditionalFormatting sqref="F1">
    <cfRule type="containsText" dxfId="4" priority="1" operator="containsText" text="TBD">
      <formula>NOT(ISERROR(SEARCH("TBD",F1)))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19"/>
  <sheetViews>
    <sheetView zoomScale="65" zoomScaleNormal="65" workbookViewId="0">
      <selection activeCell="F2" sqref="F2:F4"/>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45" t="s">
        <v>441</v>
      </c>
      <c r="B1" s="1" t="s">
        <v>11</v>
      </c>
      <c r="C1" s="1" t="s">
        <v>12</v>
      </c>
      <c r="D1" s="1" t="s">
        <v>13</v>
      </c>
      <c r="E1" s="29" t="s">
        <v>426</v>
      </c>
      <c r="F1" s="29" t="s">
        <v>445</v>
      </c>
      <c r="G1" s="29" t="s">
        <v>440</v>
      </c>
      <c r="H1" s="29" t="s">
        <v>425</v>
      </c>
      <c r="I1" s="1" t="s">
        <v>14</v>
      </c>
      <c r="J1" s="1" t="s">
        <v>15</v>
      </c>
      <c r="K1" s="1" t="s">
        <v>16</v>
      </c>
    </row>
    <row r="2" spans="1:11" ht="68.5" thickBot="1">
      <c r="A2" s="37" t="s">
        <v>126</v>
      </c>
      <c r="B2" s="37" t="s">
        <v>18</v>
      </c>
      <c r="C2" s="34" t="s">
        <v>127</v>
      </c>
      <c r="D2" s="34" t="s">
        <v>19</v>
      </c>
      <c r="E2" s="34" t="s">
        <v>395</v>
      </c>
      <c r="F2" s="37" t="str">
        <f>_xlfn.CONCAT("TC-", A2)</f>
        <v>TC-HLM-001</v>
      </c>
      <c r="G2" s="3" t="s">
        <v>128</v>
      </c>
      <c r="H2" s="3" t="s">
        <v>360</v>
      </c>
      <c r="I2" s="34" t="s">
        <v>21</v>
      </c>
      <c r="J2" s="8" t="s">
        <v>129</v>
      </c>
      <c r="K2" s="10"/>
    </row>
    <row r="3" spans="1:11" ht="136.5" thickBot="1">
      <c r="A3" s="39"/>
      <c r="B3" s="39"/>
      <c r="C3" s="36"/>
      <c r="D3" s="36"/>
      <c r="E3" s="36"/>
      <c r="F3" s="39"/>
      <c r="G3" s="3" t="s">
        <v>25</v>
      </c>
      <c r="H3" s="9" t="s">
        <v>26</v>
      </c>
      <c r="I3" s="36"/>
      <c r="J3" s="8" t="s">
        <v>129</v>
      </c>
      <c r="K3" s="10"/>
    </row>
    <row r="4" spans="1:11" ht="136.5" thickBot="1">
      <c r="A4" s="2" t="s">
        <v>130</v>
      </c>
      <c r="B4" s="8" t="s">
        <v>28</v>
      </c>
      <c r="C4" s="3" t="s">
        <v>131</v>
      </c>
      <c r="D4" s="3" t="s">
        <v>30</v>
      </c>
      <c r="E4" s="3" t="s">
        <v>396</v>
      </c>
      <c r="F4" s="2" t="s">
        <v>130</v>
      </c>
      <c r="G4" s="3" t="s">
        <v>132</v>
      </c>
      <c r="H4" s="3" t="s">
        <v>133</v>
      </c>
      <c r="I4" s="3" t="s">
        <v>33</v>
      </c>
      <c r="J4" s="8" t="s">
        <v>129</v>
      </c>
      <c r="K4" s="10"/>
    </row>
    <row r="5" spans="1:11" ht="136.5" thickBot="1">
      <c r="A5" s="37" t="s">
        <v>134</v>
      </c>
      <c r="B5" s="37" t="s">
        <v>135</v>
      </c>
      <c r="C5" s="34" t="s">
        <v>136</v>
      </c>
      <c r="D5" s="34" t="s">
        <v>38</v>
      </c>
      <c r="E5" s="34" t="s">
        <v>396</v>
      </c>
      <c r="F5" s="37" t="s">
        <v>134</v>
      </c>
      <c r="G5" s="3" t="s">
        <v>137</v>
      </c>
      <c r="H5" s="9" t="s">
        <v>138</v>
      </c>
      <c r="I5" s="34" t="s">
        <v>139</v>
      </c>
      <c r="J5" s="8" t="s">
        <v>129</v>
      </c>
      <c r="K5" s="10"/>
    </row>
    <row r="6" spans="1:11" ht="68.5" thickBot="1">
      <c r="A6" s="38"/>
      <c r="B6" s="38"/>
      <c r="C6" s="35"/>
      <c r="D6" s="35"/>
      <c r="E6" s="35"/>
      <c r="F6" s="38"/>
      <c r="G6" s="3" t="s">
        <v>140</v>
      </c>
      <c r="H6" s="9" t="s">
        <v>141</v>
      </c>
      <c r="I6" s="35"/>
      <c r="J6" s="7"/>
      <c r="K6" s="10"/>
    </row>
    <row r="7" spans="1:11" ht="51.5" thickBot="1">
      <c r="A7" s="39"/>
      <c r="B7" s="39"/>
      <c r="C7" s="36"/>
      <c r="D7" s="36"/>
      <c r="E7" s="36"/>
      <c r="F7" s="39"/>
      <c r="G7" s="3" t="s">
        <v>48</v>
      </c>
      <c r="H7" s="9" t="s">
        <v>142</v>
      </c>
      <c r="I7" s="36"/>
      <c r="J7" s="8" t="s">
        <v>129</v>
      </c>
      <c r="K7" s="10"/>
    </row>
    <row r="8" spans="1:11" ht="238.5" thickBot="1">
      <c r="A8" s="2" t="s">
        <v>143</v>
      </c>
      <c r="B8" s="8" t="s">
        <v>144</v>
      </c>
      <c r="C8" s="3" t="s">
        <v>145</v>
      </c>
      <c r="D8" s="3" t="s">
        <v>38</v>
      </c>
      <c r="E8" s="3" t="s">
        <v>396</v>
      </c>
      <c r="F8" s="2" t="s">
        <v>143</v>
      </c>
      <c r="G8" s="3" t="s">
        <v>146</v>
      </c>
      <c r="H8" s="9" t="s">
        <v>138</v>
      </c>
      <c r="I8" s="3" t="s">
        <v>139</v>
      </c>
      <c r="J8" s="8" t="s">
        <v>129</v>
      </c>
      <c r="K8" s="10"/>
    </row>
    <row r="9" spans="1:11" ht="136.5" thickBot="1">
      <c r="A9" s="37" t="s">
        <v>147</v>
      </c>
      <c r="B9" s="37" t="s">
        <v>96</v>
      </c>
      <c r="C9" s="34" t="s">
        <v>148</v>
      </c>
      <c r="D9" s="34" t="s">
        <v>98</v>
      </c>
      <c r="E9" s="34" t="s">
        <v>396</v>
      </c>
      <c r="F9" s="37" t="s">
        <v>147</v>
      </c>
      <c r="G9" s="3" t="s">
        <v>149</v>
      </c>
      <c r="H9" s="3" t="s">
        <v>150</v>
      </c>
      <c r="I9" s="34" t="s">
        <v>101</v>
      </c>
      <c r="J9" s="8" t="s">
        <v>129</v>
      </c>
      <c r="K9" s="10"/>
    </row>
    <row r="10" spans="1:11" ht="85.5" thickBot="1">
      <c r="A10" s="38"/>
      <c r="B10" s="38"/>
      <c r="C10" s="35"/>
      <c r="D10" s="35"/>
      <c r="E10" s="35"/>
      <c r="F10" s="38"/>
      <c r="G10" s="3" t="s">
        <v>151</v>
      </c>
      <c r="H10" s="3" t="s">
        <v>152</v>
      </c>
      <c r="I10" s="35"/>
      <c r="J10" s="8" t="s">
        <v>129</v>
      </c>
      <c r="K10" s="10"/>
    </row>
    <row r="11" spans="1:11" ht="17.5" thickBot="1">
      <c r="A11" s="38"/>
      <c r="B11" s="38"/>
      <c r="C11" s="35"/>
      <c r="D11" s="35"/>
      <c r="E11" s="35"/>
      <c r="F11" s="38"/>
      <c r="G11" s="3" t="s">
        <v>153</v>
      </c>
      <c r="H11" s="3" t="s">
        <v>109</v>
      </c>
      <c r="I11" s="35"/>
      <c r="J11" s="8" t="s">
        <v>129</v>
      </c>
      <c r="K11" s="10"/>
    </row>
    <row r="12" spans="1:11" ht="85.5" thickBot="1">
      <c r="A12" s="38"/>
      <c r="B12" s="38"/>
      <c r="C12" s="35"/>
      <c r="D12" s="35"/>
      <c r="E12" s="35"/>
      <c r="F12" s="38"/>
      <c r="G12" s="3" t="s">
        <v>154</v>
      </c>
      <c r="H12" s="3" t="s">
        <v>107</v>
      </c>
      <c r="I12" s="35"/>
      <c r="J12" s="8" t="s">
        <v>129</v>
      </c>
      <c r="K12" s="10"/>
    </row>
    <row r="13" spans="1:11" ht="34.5" thickBot="1">
      <c r="A13" s="38"/>
      <c r="B13" s="38"/>
      <c r="C13" s="35"/>
      <c r="D13" s="35"/>
      <c r="E13" s="35"/>
      <c r="F13" s="38"/>
      <c r="G13" s="3" t="s">
        <v>155</v>
      </c>
      <c r="H13" s="3" t="s">
        <v>156</v>
      </c>
      <c r="I13" s="35"/>
      <c r="J13" s="8" t="s">
        <v>129</v>
      </c>
      <c r="K13" s="10"/>
    </row>
    <row r="14" spans="1:11" ht="119.5" thickBot="1">
      <c r="A14" s="38"/>
      <c r="B14" s="38"/>
      <c r="C14" s="35"/>
      <c r="D14" s="35"/>
      <c r="E14" s="35"/>
      <c r="F14" s="38"/>
      <c r="G14" s="3" t="s">
        <v>157</v>
      </c>
      <c r="H14" s="3" t="s">
        <v>158</v>
      </c>
      <c r="I14" s="35"/>
      <c r="J14" s="8" t="s">
        <v>129</v>
      </c>
      <c r="K14" s="10"/>
    </row>
    <row r="15" spans="1:11" ht="51.5" thickBot="1">
      <c r="A15" s="39"/>
      <c r="B15" s="39"/>
      <c r="C15" s="36"/>
      <c r="D15" s="36"/>
      <c r="E15" s="36"/>
      <c r="F15" s="39"/>
      <c r="G15" s="3" t="s">
        <v>48</v>
      </c>
      <c r="H15" s="3" t="s">
        <v>142</v>
      </c>
      <c r="I15" s="36"/>
      <c r="J15" s="8" t="s">
        <v>129</v>
      </c>
      <c r="K15" s="10"/>
    </row>
    <row r="16" spans="1:11" ht="17.5" thickBot="1">
      <c r="A16" s="37" t="s">
        <v>159</v>
      </c>
      <c r="B16" s="37" t="s">
        <v>118</v>
      </c>
      <c r="C16" s="34" t="s">
        <v>119</v>
      </c>
      <c r="D16" s="34" t="s">
        <v>38</v>
      </c>
      <c r="E16" s="34" t="s">
        <v>396</v>
      </c>
      <c r="F16" s="37" t="s">
        <v>159</v>
      </c>
      <c r="G16" s="3" t="s">
        <v>160</v>
      </c>
      <c r="H16" s="3" t="s">
        <v>161</v>
      </c>
      <c r="I16" s="34" t="s">
        <v>101</v>
      </c>
      <c r="J16" s="8" t="s">
        <v>129</v>
      </c>
      <c r="K16" s="10"/>
    </row>
    <row r="17" spans="1:11" ht="136.5" thickBot="1">
      <c r="A17" s="38"/>
      <c r="B17" s="38"/>
      <c r="C17" s="35"/>
      <c r="D17" s="35"/>
      <c r="E17" s="35"/>
      <c r="F17" s="38"/>
      <c r="G17" s="3" t="s">
        <v>162</v>
      </c>
      <c r="H17" s="3" t="s">
        <v>150</v>
      </c>
      <c r="I17" s="35"/>
      <c r="J17" s="8" t="s">
        <v>129</v>
      </c>
      <c r="K17" s="10"/>
    </row>
    <row r="18" spans="1:11" ht="153.5" thickBot="1">
      <c r="A18" s="38"/>
      <c r="B18" s="38"/>
      <c r="C18" s="35"/>
      <c r="D18" s="35"/>
      <c r="E18" s="35"/>
      <c r="F18" s="38"/>
      <c r="G18" s="3" t="s">
        <v>163</v>
      </c>
      <c r="H18" s="3" t="s">
        <v>158</v>
      </c>
      <c r="I18" s="35"/>
      <c r="J18" s="8" t="s">
        <v>129</v>
      </c>
      <c r="K18" s="10"/>
    </row>
    <row r="19" spans="1:11" ht="51.5" thickBot="1">
      <c r="A19" s="39"/>
      <c r="B19" s="39"/>
      <c r="C19" s="36"/>
      <c r="D19" s="36"/>
      <c r="E19" s="36"/>
      <c r="F19" s="39"/>
      <c r="G19" s="3" t="s">
        <v>48</v>
      </c>
      <c r="H19" s="3" t="s">
        <v>142</v>
      </c>
      <c r="I19" s="36"/>
      <c r="J19" s="8" t="s">
        <v>129</v>
      </c>
      <c r="K19" s="10"/>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14" priority="3" operator="containsText" text="TBD">
      <formula>NOT(ISERROR(SEARCH("TBD",A1)))</formula>
    </cfRule>
  </conditionalFormatting>
  <conditionalFormatting sqref="F2:F19">
    <cfRule type="containsText" dxfId="5" priority="2" operator="containsText" text="TBD">
      <formula>NOT(ISERROR(SEARCH("TBD",F2)))</formula>
    </cfRule>
  </conditionalFormatting>
  <conditionalFormatting sqref="F1">
    <cfRule type="containsText" dxfId="0" priority="1" operator="containsText" text="TBD">
      <formula>NOT(ISERROR(SEARCH("TBD",F1)))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3"/>
  <sheetViews>
    <sheetView zoomScale="65" zoomScaleNormal="65" workbookViewId="0">
      <selection activeCell="F2" sqref="F2:F4"/>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45" t="s">
        <v>441</v>
      </c>
      <c r="B1" s="1" t="s">
        <v>11</v>
      </c>
      <c r="C1" s="1" t="s">
        <v>12</v>
      </c>
      <c r="D1" s="1" t="s">
        <v>13</v>
      </c>
      <c r="E1" s="29" t="s">
        <v>426</v>
      </c>
      <c r="F1" s="29" t="s">
        <v>445</v>
      </c>
      <c r="G1" s="29" t="s">
        <v>440</v>
      </c>
      <c r="H1" s="29" t="s">
        <v>425</v>
      </c>
      <c r="I1" s="1" t="s">
        <v>14</v>
      </c>
      <c r="J1" s="1" t="s">
        <v>15</v>
      </c>
      <c r="K1" s="1" t="s">
        <v>16</v>
      </c>
    </row>
    <row r="2" spans="1:11" ht="85.5" thickBot="1">
      <c r="A2" s="37" t="s">
        <v>164</v>
      </c>
      <c r="B2" s="37" t="s">
        <v>18</v>
      </c>
      <c r="C2" s="34" t="s">
        <v>165</v>
      </c>
      <c r="D2" s="34" t="s">
        <v>19</v>
      </c>
      <c r="E2" s="34" t="s">
        <v>393</v>
      </c>
      <c r="F2" s="37" t="str">
        <f>_xlfn.CONCAT("TC-", A2)</f>
        <v>TC-HTR-001</v>
      </c>
      <c r="G2" s="3" t="s">
        <v>166</v>
      </c>
      <c r="H2" s="3" t="s">
        <v>360</v>
      </c>
      <c r="I2" s="34" t="s">
        <v>21</v>
      </c>
      <c r="J2" s="8" t="s">
        <v>129</v>
      </c>
      <c r="K2" s="40"/>
    </row>
    <row r="3" spans="1:11" ht="136.5" thickBot="1">
      <c r="A3" s="39"/>
      <c r="B3" s="39"/>
      <c r="C3" s="36"/>
      <c r="D3" s="36"/>
      <c r="E3" s="36"/>
      <c r="F3" s="39"/>
      <c r="G3" s="3" t="s">
        <v>25</v>
      </c>
      <c r="H3" s="3" t="s">
        <v>26</v>
      </c>
      <c r="I3" s="36"/>
      <c r="J3" s="8" t="s">
        <v>129</v>
      </c>
      <c r="K3" s="41"/>
    </row>
    <row r="4" spans="1:11" ht="136.5" thickBot="1">
      <c r="A4" s="2" t="s">
        <v>167</v>
      </c>
      <c r="B4" s="8" t="s">
        <v>28</v>
      </c>
      <c r="C4" s="3" t="s">
        <v>168</v>
      </c>
      <c r="D4" s="3" t="s">
        <v>169</v>
      </c>
      <c r="E4" s="3" t="s">
        <v>394</v>
      </c>
      <c r="F4" s="2" t="s">
        <v>167</v>
      </c>
      <c r="G4" s="3" t="s">
        <v>170</v>
      </c>
      <c r="H4" s="3" t="s">
        <v>171</v>
      </c>
      <c r="I4" s="3" t="s">
        <v>33</v>
      </c>
      <c r="J4" s="8" t="s">
        <v>129</v>
      </c>
      <c r="K4" s="10"/>
    </row>
    <row r="5" spans="1:11" ht="170.5" thickBot="1">
      <c r="A5" s="37" t="s">
        <v>172</v>
      </c>
      <c r="B5" s="37" t="s">
        <v>36</v>
      </c>
      <c r="C5" s="34" t="s">
        <v>173</v>
      </c>
      <c r="D5" s="34" t="s">
        <v>38</v>
      </c>
      <c r="E5" s="34" t="s">
        <v>174</v>
      </c>
      <c r="F5" s="37" t="s">
        <v>172</v>
      </c>
      <c r="G5" s="9" t="s">
        <v>175</v>
      </c>
      <c r="H5" s="3" t="s">
        <v>176</v>
      </c>
      <c r="I5" s="34" t="s">
        <v>41</v>
      </c>
      <c r="J5" s="8" t="s">
        <v>129</v>
      </c>
      <c r="K5" s="10"/>
    </row>
    <row r="6" spans="1:11" ht="51.5" thickBot="1">
      <c r="A6" s="39"/>
      <c r="B6" s="39"/>
      <c r="C6" s="36"/>
      <c r="D6" s="36"/>
      <c r="E6" s="36"/>
      <c r="F6" s="39"/>
      <c r="G6" s="3" t="s">
        <v>177</v>
      </c>
      <c r="H6" s="3" t="s">
        <v>178</v>
      </c>
      <c r="I6" s="36"/>
      <c r="J6" s="8" t="s">
        <v>129</v>
      </c>
      <c r="K6" s="10"/>
    </row>
    <row r="7" spans="1:11" ht="153.5" thickBot="1">
      <c r="A7" s="37" t="s">
        <v>179</v>
      </c>
      <c r="B7" s="37" t="s">
        <v>51</v>
      </c>
      <c r="C7" s="34" t="s">
        <v>180</v>
      </c>
      <c r="D7" s="34" t="s">
        <v>38</v>
      </c>
      <c r="E7" s="34" t="s">
        <v>174</v>
      </c>
      <c r="F7" s="37" t="s">
        <v>179</v>
      </c>
      <c r="G7" s="9" t="s">
        <v>181</v>
      </c>
      <c r="H7" s="3" t="s">
        <v>176</v>
      </c>
      <c r="I7" s="34" t="s">
        <v>41</v>
      </c>
      <c r="J7" s="8" t="s">
        <v>129</v>
      </c>
      <c r="K7" s="10"/>
    </row>
    <row r="8" spans="1:11" ht="51.5" thickBot="1">
      <c r="A8" s="39"/>
      <c r="B8" s="39"/>
      <c r="C8" s="36"/>
      <c r="D8" s="36"/>
      <c r="E8" s="36"/>
      <c r="F8" s="39"/>
      <c r="G8" s="3" t="s">
        <v>177</v>
      </c>
      <c r="H8" s="3" t="s">
        <v>178</v>
      </c>
      <c r="I8" s="36"/>
      <c r="J8" s="8" t="s">
        <v>129</v>
      </c>
      <c r="K8" s="10"/>
    </row>
    <row r="9" spans="1:11" ht="102.5" thickBot="1">
      <c r="A9" s="2" t="s">
        <v>182</v>
      </c>
      <c r="B9" s="8" t="s">
        <v>58</v>
      </c>
      <c r="C9" s="3" t="s">
        <v>183</v>
      </c>
      <c r="D9" s="3" t="s">
        <v>60</v>
      </c>
      <c r="E9" s="3" t="s">
        <v>174</v>
      </c>
      <c r="F9" s="2" t="s">
        <v>182</v>
      </c>
      <c r="G9" s="3" t="s">
        <v>184</v>
      </c>
      <c r="H9" s="9" t="s">
        <v>185</v>
      </c>
      <c r="I9" s="3" t="s">
        <v>63</v>
      </c>
      <c r="J9" s="8" t="s">
        <v>129</v>
      </c>
      <c r="K9" s="10"/>
    </row>
    <row r="10" spans="1:11" ht="102.5" thickBot="1">
      <c r="A10" s="2" t="s">
        <v>186</v>
      </c>
      <c r="B10" s="8" t="s">
        <v>68</v>
      </c>
      <c r="C10" s="3" t="s">
        <v>183</v>
      </c>
      <c r="D10" s="3" t="s">
        <v>60</v>
      </c>
      <c r="E10" s="3" t="s">
        <v>174</v>
      </c>
      <c r="F10" s="2" t="s">
        <v>186</v>
      </c>
      <c r="G10" s="3" t="s">
        <v>187</v>
      </c>
      <c r="H10" s="9" t="s">
        <v>188</v>
      </c>
      <c r="I10" s="3" t="s">
        <v>63</v>
      </c>
      <c r="J10" s="8" t="s">
        <v>129</v>
      </c>
      <c r="K10" s="10"/>
    </row>
    <row r="11" spans="1:11" ht="102.5" thickBot="1">
      <c r="A11" s="2" t="s">
        <v>189</v>
      </c>
      <c r="B11" s="8" t="s">
        <v>74</v>
      </c>
      <c r="C11" s="3" t="s">
        <v>183</v>
      </c>
      <c r="D11" s="3" t="s">
        <v>60</v>
      </c>
      <c r="E11" s="3" t="s">
        <v>174</v>
      </c>
      <c r="F11" s="2" t="s">
        <v>189</v>
      </c>
      <c r="G11" s="3" t="s">
        <v>190</v>
      </c>
      <c r="H11" s="9" t="s">
        <v>191</v>
      </c>
      <c r="I11" s="3" t="s">
        <v>78</v>
      </c>
      <c r="J11" s="8" t="s">
        <v>129</v>
      </c>
      <c r="K11" s="10"/>
    </row>
    <row r="12" spans="1:11" ht="102.5" thickBot="1">
      <c r="A12" s="2" t="s">
        <v>192</v>
      </c>
      <c r="B12" s="8" t="s">
        <v>80</v>
      </c>
      <c r="C12" s="3" t="s">
        <v>183</v>
      </c>
      <c r="D12" s="3" t="s">
        <v>60</v>
      </c>
      <c r="E12" s="3" t="s">
        <v>174</v>
      </c>
      <c r="F12" s="2" t="s">
        <v>192</v>
      </c>
      <c r="G12" s="3" t="s">
        <v>193</v>
      </c>
      <c r="H12" s="9" t="s">
        <v>194</v>
      </c>
      <c r="I12" s="3" t="s">
        <v>84</v>
      </c>
      <c r="J12" s="8" t="s">
        <v>129</v>
      </c>
      <c r="K12" s="10"/>
    </row>
    <row r="13" spans="1:11" ht="102.5" thickBot="1">
      <c r="A13" s="37" t="s">
        <v>195</v>
      </c>
      <c r="B13" s="37" t="s">
        <v>196</v>
      </c>
      <c r="C13" s="34" t="s">
        <v>197</v>
      </c>
      <c r="D13" s="34" t="s">
        <v>198</v>
      </c>
      <c r="E13" s="34" t="s">
        <v>174</v>
      </c>
      <c r="F13" s="37" t="s">
        <v>195</v>
      </c>
      <c r="G13" s="3" t="s">
        <v>199</v>
      </c>
      <c r="H13" s="9" t="s">
        <v>200</v>
      </c>
      <c r="I13" s="7"/>
      <c r="J13" s="8" t="s">
        <v>129</v>
      </c>
      <c r="K13" s="10"/>
    </row>
    <row r="14" spans="1:11" ht="102.5" thickBot="1">
      <c r="A14" s="38"/>
      <c r="B14" s="38"/>
      <c r="C14" s="35"/>
      <c r="D14" s="35"/>
      <c r="E14" s="35"/>
      <c r="F14" s="38"/>
      <c r="G14" s="9" t="s">
        <v>201</v>
      </c>
      <c r="H14" s="3" t="s">
        <v>202</v>
      </c>
      <c r="I14" s="34" t="s">
        <v>203</v>
      </c>
      <c r="J14" s="8" t="s">
        <v>129</v>
      </c>
      <c r="K14" s="10"/>
    </row>
    <row r="15" spans="1:11" ht="102.5" thickBot="1">
      <c r="A15" s="39"/>
      <c r="B15" s="39"/>
      <c r="C15" s="36"/>
      <c r="D15" s="36"/>
      <c r="E15" s="36"/>
      <c r="F15" s="39"/>
      <c r="G15" s="9" t="s">
        <v>204</v>
      </c>
      <c r="H15" s="9" t="s">
        <v>200</v>
      </c>
      <c r="I15" s="36"/>
      <c r="J15" s="8" t="s">
        <v>129</v>
      </c>
      <c r="K15" s="10"/>
    </row>
    <row r="16" spans="1:11" ht="85.5" thickBot="1">
      <c r="A16" s="37" t="s">
        <v>205</v>
      </c>
      <c r="B16" s="37" t="s">
        <v>96</v>
      </c>
      <c r="C16" s="34" t="s">
        <v>206</v>
      </c>
      <c r="D16" s="34" t="s">
        <v>98</v>
      </c>
      <c r="E16" s="34" t="s">
        <v>174</v>
      </c>
      <c r="F16" s="37" t="s">
        <v>205</v>
      </c>
      <c r="G16" s="3" t="s">
        <v>151</v>
      </c>
      <c r="H16" s="3" t="s">
        <v>207</v>
      </c>
      <c r="I16" s="34" t="s">
        <v>101</v>
      </c>
      <c r="J16" s="8" t="s">
        <v>129</v>
      </c>
      <c r="K16" s="10"/>
    </row>
    <row r="17" spans="1:11" ht="102.5" thickBot="1">
      <c r="A17" s="38"/>
      <c r="B17" s="38"/>
      <c r="C17" s="35"/>
      <c r="D17" s="35"/>
      <c r="E17" s="35"/>
      <c r="F17" s="38"/>
      <c r="G17" s="9" t="s">
        <v>208</v>
      </c>
      <c r="H17" s="3" t="s">
        <v>209</v>
      </c>
      <c r="I17" s="35"/>
      <c r="J17" s="8" t="s">
        <v>129</v>
      </c>
      <c r="K17" s="10"/>
    </row>
    <row r="18" spans="1:11" ht="85.5" thickBot="1">
      <c r="A18" s="38"/>
      <c r="B18" s="38"/>
      <c r="C18" s="35"/>
      <c r="D18" s="35"/>
      <c r="E18" s="35"/>
      <c r="F18" s="38"/>
      <c r="G18" s="3" t="s">
        <v>210</v>
      </c>
      <c r="H18" s="3" t="s">
        <v>176</v>
      </c>
      <c r="I18" s="35"/>
      <c r="J18" s="8" t="s">
        <v>129</v>
      </c>
      <c r="K18" s="10"/>
    </row>
    <row r="19" spans="1:11" ht="51.5" thickBot="1">
      <c r="A19" s="39"/>
      <c r="B19" s="39"/>
      <c r="C19" s="36"/>
      <c r="D19" s="36"/>
      <c r="E19" s="36"/>
      <c r="F19" s="39"/>
      <c r="G19" s="3" t="s">
        <v>177</v>
      </c>
      <c r="H19" s="3" t="s">
        <v>178</v>
      </c>
      <c r="I19" s="36"/>
      <c r="J19" s="8" t="s">
        <v>129</v>
      </c>
      <c r="K19" s="10"/>
    </row>
    <row r="20" spans="1:11" ht="102.5" thickBot="1">
      <c r="A20" s="37" t="s">
        <v>211</v>
      </c>
      <c r="B20" s="37" t="s">
        <v>118</v>
      </c>
      <c r="C20" s="34" t="s">
        <v>119</v>
      </c>
      <c r="D20" s="34" t="s">
        <v>38</v>
      </c>
      <c r="E20" s="34" t="s">
        <v>174</v>
      </c>
      <c r="F20" s="37" t="s">
        <v>211</v>
      </c>
      <c r="G20" s="3" t="s">
        <v>154</v>
      </c>
      <c r="H20" s="9" t="s">
        <v>200</v>
      </c>
      <c r="I20" s="34" t="s">
        <v>101</v>
      </c>
      <c r="J20" s="8" t="s">
        <v>129</v>
      </c>
      <c r="K20" s="10"/>
    </row>
    <row r="21" spans="1:11" ht="119.5" thickBot="1">
      <c r="A21" s="38"/>
      <c r="B21" s="38"/>
      <c r="C21" s="35"/>
      <c r="D21" s="35"/>
      <c r="E21" s="35"/>
      <c r="F21" s="38"/>
      <c r="G21" s="3" t="s">
        <v>122</v>
      </c>
      <c r="H21" s="3" t="s">
        <v>171</v>
      </c>
      <c r="I21" s="35"/>
      <c r="J21" s="8" t="s">
        <v>129</v>
      </c>
      <c r="K21" s="10"/>
    </row>
    <row r="22" spans="1:11" ht="153.5" thickBot="1">
      <c r="A22" s="38"/>
      <c r="B22" s="38"/>
      <c r="C22" s="35"/>
      <c r="D22" s="35"/>
      <c r="E22" s="35"/>
      <c r="F22" s="38"/>
      <c r="G22" s="9" t="s">
        <v>181</v>
      </c>
      <c r="H22" s="3" t="s">
        <v>176</v>
      </c>
      <c r="I22" s="35"/>
      <c r="J22" s="8" t="s">
        <v>129</v>
      </c>
      <c r="K22" s="40"/>
    </row>
    <row r="23" spans="1:11" ht="51.5" thickBot="1">
      <c r="A23" s="39"/>
      <c r="B23" s="39"/>
      <c r="C23" s="36"/>
      <c r="D23" s="36"/>
      <c r="E23" s="36"/>
      <c r="F23" s="39"/>
      <c r="G23" s="3" t="s">
        <v>177</v>
      </c>
      <c r="H23" s="3" t="s">
        <v>178</v>
      </c>
      <c r="I23" s="36"/>
      <c r="J23" s="8" t="s">
        <v>129</v>
      </c>
      <c r="K23" s="41"/>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C7:C8"/>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K2:K3"/>
    <mergeCell ref="A5:A6"/>
    <mergeCell ref="B5:B6"/>
    <mergeCell ref="C5:C6"/>
    <mergeCell ref="D5:D6"/>
    <mergeCell ref="E5:E6"/>
    <mergeCell ref="I5:I6"/>
    <mergeCell ref="A2:A3"/>
    <mergeCell ref="B2:B3"/>
    <mergeCell ref="C2:C3"/>
    <mergeCell ref="D2:D3"/>
    <mergeCell ref="E2:E3"/>
    <mergeCell ref="I2:I3"/>
    <mergeCell ref="A7:A8"/>
    <mergeCell ref="B7:B8"/>
  </mergeCells>
  <phoneticPr fontId="1" type="noConversion"/>
  <conditionalFormatting sqref="A1:E23 G1:K23">
    <cfRule type="containsText" dxfId="13" priority="3" operator="containsText" text="TBD">
      <formula>NOT(ISERROR(SEARCH("TBD",A1)))</formula>
    </cfRule>
  </conditionalFormatting>
  <conditionalFormatting sqref="F2:F23">
    <cfRule type="containsText" dxfId="6" priority="2" operator="containsText" text="TBD">
      <formula>NOT(ISERROR(SEARCH("TBD",F2)))</formula>
    </cfRule>
  </conditionalFormatting>
  <conditionalFormatting sqref="F1">
    <cfRule type="containsText" dxfId="1" priority="1" operator="containsText" text="TBD">
      <formula>NOT(ISERROR(SEARCH("TBD",F1)))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6"/>
  <sheetViews>
    <sheetView zoomScale="65" zoomScaleNormal="65" workbookViewId="0">
      <selection activeCell="F2" sqref="F2:F4"/>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45" t="s">
        <v>441</v>
      </c>
      <c r="B1" s="1" t="s">
        <v>11</v>
      </c>
      <c r="C1" s="1" t="s">
        <v>12</v>
      </c>
      <c r="D1" s="1" t="s">
        <v>13</v>
      </c>
      <c r="E1" s="29" t="s">
        <v>426</v>
      </c>
      <c r="F1" s="29" t="s">
        <v>445</v>
      </c>
      <c r="G1" s="29" t="s">
        <v>440</v>
      </c>
      <c r="H1" s="29" t="s">
        <v>425</v>
      </c>
      <c r="I1" s="1" t="s">
        <v>14</v>
      </c>
      <c r="J1" s="1" t="s">
        <v>15</v>
      </c>
      <c r="K1" s="1" t="s">
        <v>16</v>
      </c>
    </row>
    <row r="2" spans="1:11" ht="85.5" thickBot="1">
      <c r="A2" s="37" t="s">
        <v>212</v>
      </c>
      <c r="B2" s="37" t="s">
        <v>18</v>
      </c>
      <c r="C2" s="34" t="s">
        <v>213</v>
      </c>
      <c r="D2" s="34" t="s">
        <v>214</v>
      </c>
      <c r="E2" s="34" t="s">
        <v>215</v>
      </c>
      <c r="F2" s="37" t="str">
        <f>_xlfn.CONCAT("TC-", A2)</f>
        <v>TC-HDR-001</v>
      </c>
      <c r="G2" s="11" t="s">
        <v>216</v>
      </c>
      <c r="H2" s="3" t="s">
        <v>360</v>
      </c>
      <c r="I2" s="34" t="s">
        <v>217</v>
      </c>
      <c r="J2" s="8" t="s">
        <v>129</v>
      </c>
      <c r="K2" s="12" t="s">
        <v>218</v>
      </c>
    </row>
    <row r="3" spans="1:11" ht="102.5" thickBot="1">
      <c r="A3" s="39"/>
      <c r="B3" s="39"/>
      <c r="C3" s="36"/>
      <c r="D3" s="36"/>
      <c r="E3" s="36"/>
      <c r="F3" s="39"/>
      <c r="G3" s="11" t="s">
        <v>219</v>
      </c>
      <c r="H3" s="9" t="s">
        <v>200</v>
      </c>
      <c r="I3" s="36"/>
      <c r="J3" s="8" t="s">
        <v>129</v>
      </c>
      <c r="K3" s="10"/>
    </row>
    <row r="4" spans="1:11" ht="102.5" thickBot="1">
      <c r="A4" s="37" t="s">
        <v>220</v>
      </c>
      <c r="B4" s="37" t="s">
        <v>196</v>
      </c>
      <c r="C4" s="34" t="s">
        <v>221</v>
      </c>
      <c r="D4" s="34" t="s">
        <v>198</v>
      </c>
      <c r="E4" s="34" t="s">
        <v>215</v>
      </c>
      <c r="F4" s="37" t="s">
        <v>220</v>
      </c>
      <c r="G4" s="3" t="s">
        <v>222</v>
      </c>
      <c r="H4" s="9" t="s">
        <v>223</v>
      </c>
      <c r="I4" s="34" t="s">
        <v>203</v>
      </c>
      <c r="J4" s="8" t="s">
        <v>129</v>
      </c>
      <c r="K4" s="10"/>
    </row>
    <row r="5" spans="1:11" ht="102.5" thickBot="1">
      <c r="A5" s="38"/>
      <c r="B5" s="38"/>
      <c r="C5" s="35"/>
      <c r="D5" s="35"/>
      <c r="E5" s="35"/>
      <c r="F5" s="38"/>
      <c r="G5" s="3" t="s">
        <v>224</v>
      </c>
      <c r="H5" s="3" t="s">
        <v>202</v>
      </c>
      <c r="I5" s="35"/>
      <c r="J5" s="8" t="s">
        <v>129</v>
      </c>
      <c r="K5" s="10"/>
    </row>
    <row r="6" spans="1:11" ht="102.5" thickBot="1">
      <c r="A6" s="39"/>
      <c r="B6" s="39"/>
      <c r="C6" s="36"/>
      <c r="D6" s="36"/>
      <c r="E6" s="36"/>
      <c r="F6" s="39"/>
      <c r="G6" s="3" t="s">
        <v>225</v>
      </c>
      <c r="H6" s="9" t="s">
        <v>223</v>
      </c>
      <c r="I6" s="36"/>
      <c r="J6" s="8" t="s">
        <v>129</v>
      </c>
      <c r="K6" s="10"/>
    </row>
    <row r="7" spans="1:11" ht="102.5" thickBot="1">
      <c r="A7" s="2" t="s">
        <v>226</v>
      </c>
      <c r="B7" s="8" t="s">
        <v>227</v>
      </c>
      <c r="C7" s="3" t="s">
        <v>228</v>
      </c>
      <c r="D7" s="3" t="s">
        <v>229</v>
      </c>
      <c r="E7" s="3" t="s">
        <v>230</v>
      </c>
      <c r="F7" s="2" t="s">
        <v>226</v>
      </c>
      <c r="G7" s="3" t="s">
        <v>231</v>
      </c>
      <c r="H7" s="3" t="s">
        <v>232</v>
      </c>
      <c r="I7" s="3" t="s">
        <v>233</v>
      </c>
      <c r="J7" s="8" t="s">
        <v>129</v>
      </c>
      <c r="K7" s="10"/>
    </row>
    <row r="8" spans="1:11" ht="102.5" thickBot="1">
      <c r="A8" s="2" t="s">
        <v>234</v>
      </c>
      <c r="B8" s="8" t="s">
        <v>235</v>
      </c>
      <c r="C8" s="3" t="s">
        <v>236</v>
      </c>
      <c r="D8" s="3" t="s">
        <v>237</v>
      </c>
      <c r="E8" s="3" t="s">
        <v>238</v>
      </c>
      <c r="F8" s="2" t="s">
        <v>234</v>
      </c>
      <c r="G8" s="3" t="s">
        <v>239</v>
      </c>
      <c r="H8" s="3" t="s">
        <v>240</v>
      </c>
      <c r="I8" s="3" t="s">
        <v>233</v>
      </c>
      <c r="J8" s="8" t="s">
        <v>129</v>
      </c>
      <c r="K8" s="10"/>
    </row>
    <row r="9" spans="1:11" ht="102.5" thickBot="1">
      <c r="A9" s="2" t="s">
        <v>241</v>
      </c>
      <c r="B9" s="8" t="s">
        <v>242</v>
      </c>
      <c r="C9" s="3" t="s">
        <v>243</v>
      </c>
      <c r="D9" s="3" t="s">
        <v>229</v>
      </c>
      <c r="E9" s="3" t="s">
        <v>244</v>
      </c>
      <c r="F9" s="2" t="s">
        <v>241</v>
      </c>
      <c r="G9" s="3" t="s">
        <v>245</v>
      </c>
      <c r="H9" s="3" t="s">
        <v>246</v>
      </c>
      <c r="I9" s="3" t="s">
        <v>247</v>
      </c>
      <c r="J9" s="8" t="s">
        <v>129</v>
      </c>
      <c r="K9" s="10"/>
    </row>
    <row r="10" spans="1:11" ht="272.5" thickBot="1">
      <c r="A10" s="37" t="s">
        <v>248</v>
      </c>
      <c r="B10" s="37" t="s">
        <v>249</v>
      </c>
      <c r="C10" s="34" t="s">
        <v>250</v>
      </c>
      <c r="D10" s="34" t="s">
        <v>251</v>
      </c>
      <c r="E10" s="34" t="s">
        <v>252</v>
      </c>
      <c r="F10" s="37" t="s">
        <v>248</v>
      </c>
      <c r="G10" s="3" t="s">
        <v>253</v>
      </c>
      <c r="H10" s="3" t="s">
        <v>254</v>
      </c>
      <c r="I10" s="3" t="s">
        <v>255</v>
      </c>
      <c r="J10" s="8" t="s">
        <v>129</v>
      </c>
      <c r="K10" s="10"/>
    </row>
    <row r="11" spans="1:11" ht="204.5" thickBot="1">
      <c r="A11" s="38"/>
      <c r="B11" s="38"/>
      <c r="C11" s="35"/>
      <c r="D11" s="35"/>
      <c r="E11" s="35"/>
      <c r="F11" s="38"/>
      <c r="G11" s="3" t="s">
        <v>256</v>
      </c>
      <c r="H11" s="3" t="s">
        <v>257</v>
      </c>
      <c r="I11" s="34" t="s">
        <v>258</v>
      </c>
      <c r="J11" s="8" t="s">
        <v>129</v>
      </c>
      <c r="K11" s="10"/>
    </row>
    <row r="12" spans="1:11" ht="119.5" thickBot="1">
      <c r="A12" s="38"/>
      <c r="B12" s="38"/>
      <c r="C12" s="35"/>
      <c r="D12" s="35"/>
      <c r="E12" s="35"/>
      <c r="F12" s="38"/>
      <c r="G12" s="3" t="s">
        <v>259</v>
      </c>
      <c r="H12" s="3" t="s">
        <v>260</v>
      </c>
      <c r="I12" s="35"/>
      <c r="J12" s="8" t="s">
        <v>129</v>
      </c>
      <c r="K12" s="10"/>
    </row>
    <row r="13" spans="1:11" ht="68.5" thickBot="1">
      <c r="A13" s="38"/>
      <c r="B13" s="38"/>
      <c r="C13" s="35"/>
      <c r="D13" s="35"/>
      <c r="E13" s="35"/>
      <c r="F13" s="38"/>
      <c r="G13" s="3" t="s">
        <v>48</v>
      </c>
      <c r="H13" s="9" t="s">
        <v>261</v>
      </c>
      <c r="I13" s="35"/>
      <c r="J13" s="8" t="s">
        <v>129</v>
      </c>
      <c r="K13" s="10"/>
    </row>
    <row r="14" spans="1:11" ht="136.5" thickBot="1">
      <c r="A14" s="38"/>
      <c r="B14" s="38"/>
      <c r="C14" s="35"/>
      <c r="D14" s="35"/>
      <c r="E14" s="35"/>
      <c r="F14" s="38"/>
      <c r="G14" s="3" t="s">
        <v>262</v>
      </c>
      <c r="H14" s="9" t="s">
        <v>263</v>
      </c>
      <c r="I14" s="35"/>
      <c r="J14" s="8" t="s">
        <v>129</v>
      </c>
      <c r="K14" s="10"/>
    </row>
    <row r="15" spans="1:11" ht="51.5" thickBot="1">
      <c r="A15" s="38"/>
      <c r="B15" s="38"/>
      <c r="C15" s="35"/>
      <c r="D15" s="35"/>
      <c r="E15" s="35"/>
      <c r="F15" s="38"/>
      <c r="G15" s="3" t="s">
        <v>48</v>
      </c>
      <c r="H15" s="9" t="s">
        <v>264</v>
      </c>
      <c r="I15" s="35"/>
      <c r="J15" s="8" t="s">
        <v>129</v>
      </c>
      <c r="K15" s="10"/>
    </row>
    <row r="16" spans="1:11" ht="170.5" thickBot="1">
      <c r="A16" s="38"/>
      <c r="B16" s="38"/>
      <c r="C16" s="35"/>
      <c r="D16" s="35"/>
      <c r="E16" s="35"/>
      <c r="F16" s="38"/>
      <c r="G16" s="3" t="s">
        <v>265</v>
      </c>
      <c r="H16" s="3" t="s">
        <v>266</v>
      </c>
      <c r="I16" s="35"/>
      <c r="J16" s="8" t="s">
        <v>129</v>
      </c>
      <c r="K16" s="10"/>
    </row>
    <row r="17" spans="1:11" ht="51.5" thickBot="1">
      <c r="A17" s="39"/>
      <c r="B17" s="39"/>
      <c r="C17" s="36"/>
      <c r="D17" s="36"/>
      <c r="E17" s="36"/>
      <c r="F17" s="39"/>
      <c r="G17" s="3" t="s">
        <v>177</v>
      </c>
      <c r="H17" s="3" t="s">
        <v>267</v>
      </c>
      <c r="I17" s="36"/>
      <c r="J17" s="8" t="s">
        <v>129</v>
      </c>
      <c r="K17" s="10"/>
    </row>
    <row r="18" spans="1:11" ht="68.5" thickBot="1">
      <c r="A18" s="2" t="s">
        <v>268</v>
      </c>
      <c r="B18" s="8" t="s">
        <v>269</v>
      </c>
      <c r="C18" s="3" t="s">
        <v>270</v>
      </c>
      <c r="D18" s="3" t="s">
        <v>271</v>
      </c>
      <c r="E18" s="3" t="s">
        <v>272</v>
      </c>
      <c r="F18" s="2" t="s">
        <v>268</v>
      </c>
      <c r="G18" s="9" t="s">
        <v>7</v>
      </c>
      <c r="H18" s="9" t="s">
        <v>7</v>
      </c>
      <c r="I18" s="3" t="s">
        <v>273</v>
      </c>
      <c r="J18" s="8" t="s">
        <v>129</v>
      </c>
      <c r="K18" s="10"/>
    </row>
    <row r="19" spans="1:11" ht="102.5" thickBot="1">
      <c r="A19" s="2" t="s">
        <v>274</v>
      </c>
      <c r="B19" s="8" t="s">
        <v>275</v>
      </c>
      <c r="C19" s="3" t="s">
        <v>276</v>
      </c>
      <c r="D19" s="3" t="s">
        <v>277</v>
      </c>
      <c r="E19" s="3" t="s">
        <v>278</v>
      </c>
      <c r="F19" s="2" t="s">
        <v>274</v>
      </c>
      <c r="G19" s="3" t="s">
        <v>279</v>
      </c>
      <c r="H19" s="3" t="s">
        <v>280</v>
      </c>
      <c r="I19" s="3" t="s">
        <v>281</v>
      </c>
      <c r="J19" s="8" t="s">
        <v>129</v>
      </c>
      <c r="K19" s="7"/>
    </row>
    <row r="20" spans="1:11" ht="17.5" thickBot="1">
      <c r="A20" s="37" t="s">
        <v>282</v>
      </c>
      <c r="B20" s="37" t="s">
        <v>283</v>
      </c>
      <c r="C20" s="34" t="s">
        <v>284</v>
      </c>
      <c r="D20" s="34" t="s">
        <v>285</v>
      </c>
      <c r="E20" s="34" t="s">
        <v>278</v>
      </c>
      <c r="F20" s="37" t="s">
        <v>282</v>
      </c>
      <c r="G20" s="3" t="s">
        <v>279</v>
      </c>
      <c r="H20" s="3" t="s">
        <v>280</v>
      </c>
      <c r="I20" s="42"/>
      <c r="J20" s="8" t="s">
        <v>129</v>
      </c>
      <c r="K20" s="7"/>
    </row>
    <row r="21" spans="1:11" ht="17.5" thickBot="1">
      <c r="A21" s="38"/>
      <c r="B21" s="38"/>
      <c r="C21" s="35"/>
      <c r="D21" s="35"/>
      <c r="E21" s="35"/>
      <c r="F21" s="38"/>
      <c r="G21" s="3" t="s">
        <v>286</v>
      </c>
      <c r="H21" s="3" t="s">
        <v>287</v>
      </c>
      <c r="I21" s="43"/>
      <c r="J21" s="8" t="s">
        <v>129</v>
      </c>
      <c r="K21" s="7"/>
    </row>
    <row r="22" spans="1:11" ht="17.5" thickBot="1">
      <c r="A22" s="38"/>
      <c r="B22" s="38"/>
      <c r="C22" s="35"/>
      <c r="D22" s="35"/>
      <c r="E22" s="35"/>
      <c r="F22" s="38"/>
      <c r="G22" s="3" t="s">
        <v>288</v>
      </c>
      <c r="H22" s="3" t="s">
        <v>289</v>
      </c>
      <c r="I22" s="43"/>
      <c r="J22" s="8" t="s">
        <v>129</v>
      </c>
      <c r="K22" s="7"/>
    </row>
    <row r="23" spans="1:11" ht="17.5" thickBot="1">
      <c r="A23" s="38"/>
      <c r="B23" s="38"/>
      <c r="C23" s="35"/>
      <c r="D23" s="35"/>
      <c r="E23" s="35"/>
      <c r="F23" s="38"/>
      <c r="G23" s="3" t="s">
        <v>279</v>
      </c>
      <c r="H23" s="3" t="s">
        <v>280</v>
      </c>
      <c r="I23" s="43"/>
      <c r="J23" s="8" t="s">
        <v>129</v>
      </c>
      <c r="K23" s="7"/>
    </row>
    <row r="24" spans="1:11" ht="102.5" thickBot="1">
      <c r="A24" s="38"/>
      <c r="B24" s="38"/>
      <c r="C24" s="35"/>
      <c r="D24" s="35"/>
      <c r="E24" s="35"/>
      <c r="F24" s="38"/>
      <c r="G24" s="3" t="s">
        <v>151</v>
      </c>
      <c r="H24" s="3" t="s">
        <v>290</v>
      </c>
      <c r="I24" s="43"/>
      <c r="J24" s="8" t="s">
        <v>129</v>
      </c>
      <c r="K24" s="7"/>
    </row>
    <row r="25" spans="1:11" ht="102.5" thickBot="1">
      <c r="A25" s="38"/>
      <c r="B25" s="38"/>
      <c r="C25" s="35"/>
      <c r="D25" s="35"/>
      <c r="E25" s="35"/>
      <c r="F25" s="38"/>
      <c r="G25" s="3" t="s">
        <v>154</v>
      </c>
      <c r="H25" s="9" t="s">
        <v>291</v>
      </c>
      <c r="I25" s="43"/>
      <c r="J25" s="8" t="s">
        <v>129</v>
      </c>
      <c r="K25" s="7"/>
    </row>
    <row r="26" spans="1:11" ht="17.5" thickBot="1">
      <c r="A26" s="39"/>
      <c r="B26" s="39"/>
      <c r="C26" s="36"/>
      <c r="D26" s="36"/>
      <c r="E26" s="36"/>
      <c r="F26" s="39"/>
      <c r="G26" s="3" t="s">
        <v>279</v>
      </c>
      <c r="H26" s="3" t="s">
        <v>280</v>
      </c>
      <c r="I26" s="44"/>
      <c r="J26" s="8" t="s">
        <v>129</v>
      </c>
      <c r="K26" s="7"/>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12" priority="3" operator="containsText" text="TBD">
      <formula>NOT(ISERROR(SEARCH("TBD",A1)))</formula>
    </cfRule>
  </conditionalFormatting>
  <conditionalFormatting sqref="F2:F26">
    <cfRule type="containsText" dxfId="7" priority="2" operator="containsText" text="TBD">
      <formula>NOT(ISERROR(SEARCH("TBD",F2)))</formula>
    </cfRule>
  </conditionalFormatting>
  <conditionalFormatting sqref="F1">
    <cfRule type="containsText" dxfId="2" priority="1" operator="containsText" text="TBD">
      <formula>NOT(ISERROR(SEARCH("TBD",F1)))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7"/>
  <sheetViews>
    <sheetView topLeftCell="A9" zoomScale="65" zoomScaleNormal="65" workbookViewId="0">
      <selection activeCell="F2" sqref="F2:F4"/>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45" t="s">
        <v>441</v>
      </c>
      <c r="B1" s="1" t="s">
        <v>11</v>
      </c>
      <c r="C1" s="1" t="s">
        <v>12</v>
      </c>
      <c r="D1" s="1" t="s">
        <v>13</v>
      </c>
      <c r="E1" s="29" t="s">
        <v>426</v>
      </c>
      <c r="F1" s="29" t="s">
        <v>445</v>
      </c>
      <c r="G1" s="29" t="s">
        <v>440</v>
      </c>
      <c r="H1" s="29" t="s">
        <v>425</v>
      </c>
      <c r="I1" s="1" t="s">
        <v>14</v>
      </c>
      <c r="J1" s="1" t="s">
        <v>15</v>
      </c>
      <c r="K1" s="1" t="s">
        <v>16</v>
      </c>
    </row>
    <row r="2" spans="1:11" ht="51.5" thickBot="1">
      <c r="A2" s="37" t="s">
        <v>292</v>
      </c>
      <c r="B2" s="37" t="s">
        <v>18</v>
      </c>
      <c r="C2" s="34" t="s">
        <v>293</v>
      </c>
      <c r="D2" s="34" t="s">
        <v>294</v>
      </c>
      <c r="E2" s="3" t="s">
        <v>295</v>
      </c>
      <c r="F2" s="37" t="str">
        <f>_xlfn.CONCAT("TC-", A2)</f>
        <v>TC-HDC-001</v>
      </c>
      <c r="G2" s="3" t="s">
        <v>296</v>
      </c>
      <c r="H2" s="3" t="s">
        <v>360</v>
      </c>
      <c r="I2" s="7"/>
      <c r="J2" s="8" t="s">
        <v>129</v>
      </c>
      <c r="K2" s="7"/>
    </row>
    <row r="3" spans="1:11" ht="34.5" thickBot="1">
      <c r="A3" s="38"/>
      <c r="B3" s="38"/>
      <c r="C3" s="35"/>
      <c r="D3" s="35"/>
      <c r="E3" s="3" t="s">
        <v>295</v>
      </c>
      <c r="F3" s="38"/>
      <c r="G3" s="3" t="s">
        <v>297</v>
      </c>
      <c r="H3" s="3" t="s">
        <v>298</v>
      </c>
      <c r="I3" s="7"/>
      <c r="J3" s="8" t="s">
        <v>129</v>
      </c>
      <c r="K3" s="7"/>
    </row>
    <row r="4" spans="1:11" ht="102.5" thickBot="1">
      <c r="A4" s="39"/>
      <c r="B4" s="39"/>
      <c r="C4" s="36"/>
      <c r="D4" s="36"/>
      <c r="E4" s="3" t="s">
        <v>295</v>
      </c>
      <c r="F4" s="39"/>
      <c r="G4" s="3" t="s">
        <v>299</v>
      </c>
      <c r="H4" s="3" t="s">
        <v>300</v>
      </c>
      <c r="I4" s="7"/>
      <c r="J4" s="8" t="s">
        <v>129</v>
      </c>
      <c r="K4" s="7"/>
    </row>
    <row r="5" spans="1:11" ht="102.5" thickBot="1">
      <c r="A5" s="37" t="s">
        <v>301</v>
      </c>
      <c r="B5" s="37" t="s">
        <v>196</v>
      </c>
      <c r="C5" s="34" t="s">
        <v>302</v>
      </c>
      <c r="D5" s="34" t="s">
        <v>294</v>
      </c>
      <c r="E5" s="3" t="s">
        <v>295</v>
      </c>
      <c r="F5" s="37" t="s">
        <v>301</v>
      </c>
      <c r="G5" s="3" t="s">
        <v>303</v>
      </c>
      <c r="H5" s="3" t="s">
        <v>300</v>
      </c>
      <c r="I5" s="7"/>
      <c r="J5" s="8" t="s">
        <v>129</v>
      </c>
      <c r="K5" s="7"/>
    </row>
    <row r="6" spans="1:11" ht="102.5" thickBot="1">
      <c r="A6" s="38"/>
      <c r="B6" s="38"/>
      <c r="C6" s="35"/>
      <c r="D6" s="35"/>
      <c r="E6" s="3" t="s">
        <v>295</v>
      </c>
      <c r="F6" s="38"/>
      <c r="G6" s="3" t="s">
        <v>201</v>
      </c>
      <c r="H6" s="3" t="s">
        <v>304</v>
      </c>
      <c r="I6" s="7"/>
      <c r="J6" s="8" t="s">
        <v>129</v>
      </c>
      <c r="K6" s="7"/>
    </row>
    <row r="7" spans="1:11" ht="102.5" thickBot="1">
      <c r="A7" s="39"/>
      <c r="B7" s="39"/>
      <c r="C7" s="36"/>
      <c r="D7" s="36"/>
      <c r="E7" s="3" t="s">
        <v>295</v>
      </c>
      <c r="F7" s="39"/>
      <c r="G7" s="3" t="s">
        <v>204</v>
      </c>
      <c r="H7" s="3" t="s">
        <v>300</v>
      </c>
      <c r="I7" s="7"/>
      <c r="J7" s="8" t="s">
        <v>129</v>
      </c>
      <c r="K7" s="7"/>
    </row>
    <row r="8" spans="1:11" ht="102.5" thickBot="1">
      <c r="A8" s="37" t="s">
        <v>305</v>
      </c>
      <c r="B8" s="37" t="s">
        <v>306</v>
      </c>
      <c r="C8" s="34" t="s">
        <v>307</v>
      </c>
      <c r="D8" s="34" t="s">
        <v>308</v>
      </c>
      <c r="E8" s="3" t="s">
        <v>295</v>
      </c>
      <c r="F8" s="37" t="s">
        <v>305</v>
      </c>
      <c r="G8" s="3" t="s">
        <v>303</v>
      </c>
      <c r="H8" s="3" t="s">
        <v>300</v>
      </c>
      <c r="I8" s="7"/>
      <c r="J8" s="8" t="s">
        <v>129</v>
      </c>
      <c r="K8" s="7"/>
    </row>
    <row r="9" spans="1:11" ht="51.5" thickBot="1">
      <c r="A9" s="39"/>
      <c r="B9" s="39"/>
      <c r="C9" s="36"/>
      <c r="D9" s="36"/>
      <c r="E9" s="3" t="s">
        <v>295</v>
      </c>
      <c r="F9" s="39"/>
      <c r="G9" s="3" t="s">
        <v>309</v>
      </c>
      <c r="H9" s="3" t="s">
        <v>310</v>
      </c>
      <c r="I9" s="7"/>
      <c r="J9" s="8" t="s">
        <v>129</v>
      </c>
      <c r="K9" s="7"/>
    </row>
    <row r="10" spans="1:11" ht="102.5" thickBot="1">
      <c r="A10" s="37" t="s">
        <v>311</v>
      </c>
      <c r="B10" s="37" t="s">
        <v>312</v>
      </c>
      <c r="C10" s="34" t="s">
        <v>313</v>
      </c>
      <c r="D10" s="34" t="s">
        <v>314</v>
      </c>
      <c r="E10" s="3" t="s">
        <v>295</v>
      </c>
      <c r="F10" s="37" t="s">
        <v>311</v>
      </c>
      <c r="G10" s="3" t="s">
        <v>303</v>
      </c>
      <c r="H10" s="3" t="s">
        <v>300</v>
      </c>
      <c r="I10" s="34" t="s">
        <v>315</v>
      </c>
      <c r="J10" s="8" t="s">
        <v>129</v>
      </c>
      <c r="K10" s="7"/>
    </row>
    <row r="11" spans="1:11" ht="119.5" thickBot="1">
      <c r="A11" s="39"/>
      <c r="B11" s="39"/>
      <c r="C11" s="36"/>
      <c r="D11" s="36"/>
      <c r="E11" s="3" t="s">
        <v>295</v>
      </c>
      <c r="F11" s="39"/>
      <c r="G11" s="3" t="s">
        <v>316</v>
      </c>
      <c r="H11" s="3" t="s">
        <v>317</v>
      </c>
      <c r="I11" s="36"/>
      <c r="J11" s="8" t="s">
        <v>129</v>
      </c>
      <c r="K11" s="7"/>
    </row>
    <row r="12" spans="1:11" ht="102.5" thickBot="1">
      <c r="A12" s="37" t="s">
        <v>318</v>
      </c>
      <c r="B12" s="37" t="s">
        <v>319</v>
      </c>
      <c r="C12" s="34" t="s">
        <v>320</v>
      </c>
      <c r="D12" s="34" t="s">
        <v>321</v>
      </c>
      <c r="E12" s="34" t="s">
        <v>322</v>
      </c>
      <c r="F12" s="37" t="s">
        <v>318</v>
      </c>
      <c r="G12" s="3" t="s">
        <v>303</v>
      </c>
      <c r="H12" s="3" t="s">
        <v>300</v>
      </c>
      <c r="I12" s="7"/>
      <c r="J12" s="8" t="s">
        <v>129</v>
      </c>
      <c r="K12" s="7"/>
    </row>
    <row r="13" spans="1:11" ht="68.5" thickBot="1">
      <c r="A13" s="38"/>
      <c r="B13" s="38"/>
      <c r="C13" s="35"/>
      <c r="D13" s="35"/>
      <c r="E13" s="35"/>
      <c r="F13" s="38"/>
      <c r="G13" s="3" t="s">
        <v>323</v>
      </c>
      <c r="H13" s="3" t="s">
        <v>324</v>
      </c>
      <c r="I13" s="7"/>
      <c r="J13" s="8" t="s">
        <v>129</v>
      </c>
      <c r="K13" s="7"/>
    </row>
    <row r="14" spans="1:11" ht="34.5" thickBot="1">
      <c r="A14" s="38"/>
      <c r="B14" s="38"/>
      <c r="C14" s="35"/>
      <c r="D14" s="35"/>
      <c r="E14" s="35"/>
      <c r="F14" s="38"/>
      <c r="G14" s="3" t="s">
        <v>325</v>
      </c>
      <c r="H14" s="3" t="s">
        <v>326</v>
      </c>
      <c r="I14" s="7"/>
      <c r="J14" s="8" t="s">
        <v>129</v>
      </c>
      <c r="K14" s="7"/>
    </row>
    <row r="15" spans="1:11" ht="102.5" thickBot="1">
      <c r="A15" s="38"/>
      <c r="B15" s="38"/>
      <c r="C15" s="35"/>
      <c r="D15" s="35"/>
      <c r="E15" s="35"/>
      <c r="F15" s="38"/>
      <c r="G15" s="3" t="s">
        <v>327</v>
      </c>
      <c r="H15" s="3" t="s">
        <v>107</v>
      </c>
      <c r="I15" s="7"/>
      <c r="J15" s="8" t="s">
        <v>129</v>
      </c>
      <c r="K15" s="7"/>
    </row>
    <row r="16" spans="1:11" ht="85.5" thickBot="1">
      <c r="A16" s="38"/>
      <c r="B16" s="38"/>
      <c r="C16" s="35"/>
      <c r="D16" s="35"/>
      <c r="E16" s="35"/>
      <c r="F16" s="38"/>
      <c r="G16" s="3" t="s">
        <v>328</v>
      </c>
      <c r="H16" s="3" t="s">
        <v>329</v>
      </c>
      <c r="I16" s="7"/>
      <c r="J16" s="8" t="s">
        <v>129</v>
      </c>
      <c r="K16" s="6" t="s">
        <v>330</v>
      </c>
    </row>
    <row r="17" spans="1:11" ht="51.5" thickBot="1">
      <c r="A17" s="39"/>
      <c r="B17" s="39"/>
      <c r="C17" s="36"/>
      <c r="D17" s="36"/>
      <c r="E17" s="36"/>
      <c r="F17" s="39"/>
      <c r="G17" s="3" t="s">
        <v>331</v>
      </c>
      <c r="H17" s="3" t="s">
        <v>332</v>
      </c>
      <c r="I17" s="7"/>
      <c r="J17" s="8" t="s">
        <v>129</v>
      </c>
      <c r="K17" s="6" t="s">
        <v>333</v>
      </c>
    </row>
    <row r="18" spans="1:11" ht="102.5" thickBot="1">
      <c r="A18" s="37" t="s">
        <v>334</v>
      </c>
      <c r="B18" s="37" t="s">
        <v>335</v>
      </c>
      <c r="C18" s="34" t="s">
        <v>444</v>
      </c>
      <c r="D18" s="34" t="s">
        <v>336</v>
      </c>
      <c r="E18" s="34" t="s">
        <v>322</v>
      </c>
      <c r="F18" s="37" t="s">
        <v>334</v>
      </c>
      <c r="G18" s="3" t="s">
        <v>303</v>
      </c>
      <c r="H18" s="3" t="s">
        <v>300</v>
      </c>
      <c r="I18" s="7"/>
      <c r="J18" s="8" t="s">
        <v>129</v>
      </c>
      <c r="K18" s="7"/>
    </row>
    <row r="19" spans="1:11" ht="68.5" thickBot="1">
      <c r="A19" s="38"/>
      <c r="B19" s="38"/>
      <c r="C19" s="35"/>
      <c r="D19" s="35"/>
      <c r="E19" s="35"/>
      <c r="F19" s="38"/>
      <c r="G19" s="3" t="s">
        <v>323</v>
      </c>
      <c r="H19" s="3" t="s">
        <v>324</v>
      </c>
      <c r="I19" s="7"/>
      <c r="J19" s="8" t="s">
        <v>129</v>
      </c>
      <c r="K19" s="7"/>
    </row>
    <row r="20" spans="1:11" ht="34.5" thickBot="1">
      <c r="A20" s="38"/>
      <c r="B20" s="38"/>
      <c r="C20" s="35"/>
      <c r="D20" s="35"/>
      <c r="E20" s="35"/>
      <c r="F20" s="38"/>
      <c r="G20" s="3" t="s">
        <v>337</v>
      </c>
      <c r="H20" s="3" t="s">
        <v>338</v>
      </c>
      <c r="I20" s="7"/>
      <c r="J20" s="8" t="s">
        <v>129</v>
      </c>
      <c r="K20" s="7"/>
    </row>
    <row r="21" spans="1:11" ht="85.5" thickBot="1">
      <c r="A21" s="38"/>
      <c r="B21" s="38"/>
      <c r="C21" s="35"/>
      <c r="D21" s="35"/>
      <c r="E21" s="35"/>
      <c r="F21" s="38"/>
      <c r="G21" s="3" t="s">
        <v>328</v>
      </c>
      <c r="H21" s="3" t="s">
        <v>339</v>
      </c>
      <c r="I21" s="7"/>
      <c r="J21" s="8" t="s">
        <v>129</v>
      </c>
      <c r="K21" s="6" t="s">
        <v>330</v>
      </c>
    </row>
    <row r="22" spans="1:11" ht="51.5" thickBot="1">
      <c r="A22" s="39"/>
      <c r="B22" s="39"/>
      <c r="C22" s="36"/>
      <c r="D22" s="36"/>
      <c r="E22" s="36"/>
      <c r="F22" s="39"/>
      <c r="G22" s="3" t="s">
        <v>331</v>
      </c>
      <c r="H22" s="3" t="s">
        <v>340</v>
      </c>
      <c r="I22" s="7"/>
      <c r="J22" s="8" t="s">
        <v>129</v>
      </c>
      <c r="K22" s="6" t="s">
        <v>333</v>
      </c>
    </row>
    <row r="23" spans="1:11" ht="102.5" thickBot="1">
      <c r="A23" s="37" t="s">
        <v>341</v>
      </c>
      <c r="B23" s="37" t="s">
        <v>342</v>
      </c>
      <c r="C23" s="34" t="s">
        <v>343</v>
      </c>
      <c r="D23" s="34" t="s">
        <v>321</v>
      </c>
      <c r="E23" s="34" t="s">
        <v>322</v>
      </c>
      <c r="F23" s="37" t="s">
        <v>341</v>
      </c>
      <c r="G23" s="3" t="s">
        <v>303</v>
      </c>
      <c r="H23" s="3" t="s">
        <v>300</v>
      </c>
      <c r="I23" s="34" t="s">
        <v>315</v>
      </c>
      <c r="J23" s="8" t="s">
        <v>129</v>
      </c>
      <c r="K23" s="7"/>
    </row>
    <row r="24" spans="1:11" ht="68.5" thickBot="1">
      <c r="A24" s="38"/>
      <c r="B24" s="38"/>
      <c r="C24" s="35"/>
      <c r="D24" s="35"/>
      <c r="E24" s="35"/>
      <c r="F24" s="38"/>
      <c r="G24" s="3" t="s">
        <v>344</v>
      </c>
      <c r="H24" s="3" t="s">
        <v>317</v>
      </c>
      <c r="I24" s="35"/>
      <c r="J24" s="8" t="s">
        <v>129</v>
      </c>
      <c r="K24" s="7"/>
    </row>
    <row r="25" spans="1:11" ht="34.5" thickBot="1">
      <c r="A25" s="38"/>
      <c r="B25" s="38"/>
      <c r="C25" s="35"/>
      <c r="D25" s="35"/>
      <c r="E25" s="35"/>
      <c r="F25" s="38"/>
      <c r="G25" s="3" t="s">
        <v>325</v>
      </c>
      <c r="H25" s="3" t="s">
        <v>326</v>
      </c>
      <c r="I25" s="35"/>
      <c r="J25" s="8" t="s">
        <v>129</v>
      </c>
      <c r="K25" s="7"/>
    </row>
    <row r="26" spans="1:11" ht="85.5" thickBot="1">
      <c r="A26" s="38"/>
      <c r="B26" s="38"/>
      <c r="C26" s="35"/>
      <c r="D26" s="35"/>
      <c r="E26" s="35"/>
      <c r="F26" s="38"/>
      <c r="G26" s="3" t="s">
        <v>328</v>
      </c>
      <c r="H26" s="3" t="s">
        <v>329</v>
      </c>
      <c r="I26" s="35"/>
      <c r="J26" s="8" t="s">
        <v>129</v>
      </c>
      <c r="K26" s="6" t="s">
        <v>330</v>
      </c>
    </row>
    <row r="27" spans="1:11" ht="51.5" thickBot="1">
      <c r="A27" s="39"/>
      <c r="B27" s="39"/>
      <c r="C27" s="36"/>
      <c r="D27" s="36"/>
      <c r="E27" s="36"/>
      <c r="F27" s="39"/>
      <c r="G27" s="3" t="s">
        <v>331</v>
      </c>
      <c r="H27" s="3" t="s">
        <v>340</v>
      </c>
      <c r="I27" s="36"/>
      <c r="J27" s="8" t="s">
        <v>129</v>
      </c>
      <c r="K27" s="6" t="s">
        <v>333</v>
      </c>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11" priority="3" operator="containsText" text="TBD">
      <formula>NOT(ISERROR(SEARCH("TBD",A1)))</formula>
    </cfRule>
  </conditionalFormatting>
  <conditionalFormatting sqref="F2:F27">
    <cfRule type="containsText" dxfId="8" priority="2" operator="containsText" text="TBD">
      <formula>NOT(ISERROR(SEARCH("TBD",F2)))</formula>
    </cfRule>
  </conditionalFormatting>
  <conditionalFormatting sqref="F1">
    <cfRule type="containsText" dxfId="3" priority="1" operator="containsText" text="TBD">
      <formula>NOT(ISERROR(SEARCH("TBD",F1)))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G4"/>
  <sheetViews>
    <sheetView workbookViewId="0">
      <selection activeCell="C3" sqref="A1:G4"/>
    </sheetView>
  </sheetViews>
  <sheetFormatPr defaultColWidth="53.5" defaultRowHeight="17"/>
  <cols>
    <col min="1" max="1" width="9.5" bestFit="1" customWidth="1"/>
    <col min="2" max="2" width="8.4140625" bestFit="1" customWidth="1"/>
    <col min="3" max="3" width="20.08203125" bestFit="1" customWidth="1"/>
    <col min="5" max="5" width="31.33203125" bestFit="1" customWidth="1"/>
  </cols>
  <sheetData>
    <row r="1" spans="1:7" ht="17.5" thickBot="1">
      <c r="A1" s="13" t="s">
        <v>345</v>
      </c>
      <c r="B1" s="14" t="s">
        <v>9</v>
      </c>
      <c r="C1" s="14" t="s">
        <v>11</v>
      </c>
      <c r="D1" s="14" t="s">
        <v>346</v>
      </c>
      <c r="E1" s="1" t="s">
        <v>347</v>
      </c>
      <c r="F1" s="1" t="s">
        <v>348</v>
      </c>
      <c r="G1" s="1" t="s">
        <v>349</v>
      </c>
    </row>
    <row r="2" spans="1:7" ht="17.5" thickBot="1">
      <c r="A2" s="15">
        <v>46113</v>
      </c>
      <c r="B2" s="8" t="s">
        <v>35</v>
      </c>
      <c r="C2" s="8" t="s">
        <v>350</v>
      </c>
      <c r="D2" s="3" t="s">
        <v>351</v>
      </c>
      <c r="E2" s="3" t="s">
        <v>352</v>
      </c>
      <c r="F2" s="3" t="s">
        <v>353</v>
      </c>
      <c r="G2" s="10"/>
    </row>
    <row r="3" spans="1:7" ht="85.5" thickBot="1">
      <c r="A3" s="15">
        <v>46113</v>
      </c>
      <c r="B3" s="8" t="s">
        <v>95</v>
      </c>
      <c r="C3" s="8" t="s">
        <v>96</v>
      </c>
      <c r="D3" s="3" t="s">
        <v>98</v>
      </c>
      <c r="E3" s="3" t="s">
        <v>354</v>
      </c>
      <c r="F3" s="3" t="s">
        <v>355</v>
      </c>
      <c r="G3" s="10"/>
    </row>
    <row r="4" spans="1:7" ht="68.5" thickBot="1">
      <c r="A4" s="15">
        <v>46113</v>
      </c>
      <c r="B4" s="8" t="s">
        <v>117</v>
      </c>
      <c r="C4" s="8" t="s">
        <v>118</v>
      </c>
      <c r="D4" s="3" t="s">
        <v>38</v>
      </c>
      <c r="E4" s="3" t="s">
        <v>356</v>
      </c>
      <c r="F4" s="3" t="s">
        <v>357</v>
      </c>
      <c r="G4" s="10"/>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Test Config ID 관리</vt:lpstr>
      <vt:lpstr>테스트 환경</vt:lpstr>
      <vt:lpstr>TRACE ID</vt:lpstr>
      <vt:lpstr>HRK</vt:lpstr>
      <vt:lpstr>HLM</vt:lpstr>
      <vt:lpstr>HTR</vt:lpstr>
      <vt:lpstr>HDR</vt:lpstr>
      <vt:lpstr>HDC</vt:lpstr>
      <vt:lpstr>문제점 관리</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2026-05-06T06:45:09Z</dcterms:modified>
</cp:coreProperties>
</file>